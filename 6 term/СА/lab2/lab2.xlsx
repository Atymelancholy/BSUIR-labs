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yme\OneDrive\Документы\GitHub\BSUIR-labs\6 term\СА\lab2\"/>
    </mc:Choice>
  </mc:AlternateContent>
  <xr:revisionPtr revIDLastSave="0" documentId="13_ncr:1_{67FB1497-42FA-455B-BC25-C10C806FCFA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Лист2" sheetId="3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3" l="1"/>
  <c r="F51" i="3"/>
  <c r="F49" i="3"/>
  <c r="F43" i="3"/>
  <c r="F52" i="3"/>
  <c r="U61" i="3"/>
  <c r="U63" i="3" s="1"/>
  <c r="U67" i="3" s="1"/>
  <c r="M61" i="3"/>
  <c r="M63" i="3" s="1"/>
  <c r="M67" i="3" s="1"/>
  <c r="U54" i="3"/>
  <c r="U53" i="3"/>
  <c r="U52" i="3"/>
  <c r="U51" i="3"/>
  <c r="U50" i="3"/>
  <c r="U49" i="3"/>
  <c r="M54" i="3"/>
  <c r="M53" i="3"/>
  <c r="M52" i="3"/>
  <c r="M51" i="3"/>
  <c r="M50" i="3"/>
  <c r="M49" i="3"/>
  <c r="F53" i="3"/>
  <c r="F50" i="3"/>
  <c r="T42" i="3"/>
  <c r="T41" i="3"/>
  <c r="T40" i="3"/>
  <c r="T39" i="3"/>
  <c r="T38" i="3"/>
  <c r="T37" i="3"/>
  <c r="M42" i="3"/>
  <c r="M41" i="3"/>
  <c r="M40" i="3"/>
  <c r="M39" i="3"/>
  <c r="M38" i="3"/>
  <c r="M37" i="3"/>
  <c r="F37" i="3"/>
  <c r="F38" i="3"/>
  <c r="F39" i="3"/>
  <c r="F40" i="3"/>
  <c r="F41" i="3"/>
  <c r="F42" i="3"/>
  <c r="Q17" i="3"/>
  <c r="Q16" i="3"/>
  <c r="Q15" i="3"/>
  <c r="Q10" i="3"/>
  <c r="Q9" i="3"/>
  <c r="Q8" i="3"/>
  <c r="K16" i="3"/>
  <c r="K15" i="3"/>
  <c r="K14" i="3"/>
  <c r="F14" i="3"/>
  <c r="F15" i="3"/>
  <c r="F16" i="3"/>
  <c r="K17" i="3" l="1"/>
  <c r="K21" i="3" s="1"/>
  <c r="I40" i="3"/>
  <c r="T43" i="3"/>
  <c r="M43" i="3"/>
  <c r="P37" i="3" s="1"/>
  <c r="AF32" i="3" l="1"/>
  <c r="AC32" i="3"/>
  <c r="K20" i="3"/>
  <c r="W41" i="3"/>
  <c r="W37" i="3"/>
  <c r="I37" i="3"/>
  <c r="I42" i="3"/>
  <c r="I38" i="3"/>
  <c r="I41" i="3"/>
  <c r="I39" i="3"/>
  <c r="K22" i="3"/>
  <c r="W38" i="3"/>
  <c r="P42" i="3"/>
  <c r="P40" i="3"/>
  <c r="P41" i="3"/>
  <c r="P39" i="3"/>
  <c r="P38" i="3"/>
  <c r="W42" i="3"/>
  <c r="W39" i="3"/>
  <c r="W40" i="3"/>
  <c r="AF30" i="3" l="1"/>
  <c r="AC30" i="3"/>
  <c r="AC31" i="3"/>
  <c r="AF31" i="3"/>
  <c r="AC33" i="3"/>
  <c r="AF33" i="3"/>
  <c r="AC34" i="3"/>
  <c r="AF34" i="3"/>
  <c r="I44" i="3"/>
  <c r="F61" i="3"/>
  <c r="F63" i="3" s="1"/>
  <c r="F67" i="3" s="1"/>
  <c r="AC29" i="3"/>
  <c r="AF29" i="3"/>
  <c r="U15" i="3"/>
  <c r="X15" i="3" s="1"/>
  <c r="AD15" i="3" s="1"/>
  <c r="F17" i="3"/>
  <c r="F20" i="3" s="1"/>
  <c r="F22" i="3" l="1"/>
  <c r="F21" i="3"/>
  <c r="U8" i="3" s="1"/>
  <c r="X8" i="3" s="1"/>
  <c r="AD8" i="3" s="1"/>
</calcChain>
</file>

<file path=xl/sharedStrings.xml><?xml version="1.0" encoding="utf-8"?>
<sst xmlns="http://schemas.openxmlformats.org/spreadsheetml/2006/main" count="186" uniqueCount="50">
  <si>
    <t>K1</t>
  </si>
  <si>
    <t>K2</t>
  </si>
  <si>
    <t>K3</t>
  </si>
  <si>
    <t>C1</t>
  </si>
  <si>
    <t>C2</t>
  </si>
  <si>
    <t>C3</t>
  </si>
  <si>
    <t>Сумма:</t>
  </si>
  <si>
    <t>Локал. приоритеты</t>
  </si>
  <si>
    <t>Lk1</t>
  </si>
  <si>
    <t>Lk2</t>
  </si>
  <si>
    <t>Lk3</t>
  </si>
  <si>
    <t>Ср. геом. cтрок</t>
  </si>
  <si>
    <t>C4</t>
  </si>
  <si>
    <t>C5</t>
  </si>
  <si>
    <t>C6</t>
  </si>
  <si>
    <t>L2</t>
  </si>
  <si>
    <t>L3</t>
  </si>
  <si>
    <t>L4</t>
  </si>
  <si>
    <t>L5</t>
  </si>
  <si>
    <t>L6</t>
  </si>
  <si>
    <t>G2</t>
  </si>
  <si>
    <t>G3</t>
  </si>
  <si>
    <t>G4</t>
  </si>
  <si>
    <t>G5</t>
  </si>
  <si>
    <t>G6</t>
  </si>
  <si>
    <t>Глобал. приоритеты</t>
  </si>
  <si>
    <t>Наил-й:</t>
  </si>
  <si>
    <t>М2</t>
  </si>
  <si>
    <t>М3</t>
  </si>
  <si>
    <t>М4</t>
  </si>
  <si>
    <t>М5</t>
  </si>
  <si>
    <t>М6</t>
  </si>
  <si>
    <t>М1</t>
  </si>
  <si>
    <t>Матрица парных сравнений по критерию "Прибыль"</t>
  </si>
  <si>
    <t>Возможности развитиея территории</t>
  </si>
  <si>
    <t>Новые рабочие места</t>
  </si>
  <si>
    <t>Прибыль</t>
  </si>
  <si>
    <t>L1</t>
  </si>
  <si>
    <t>Матрица парных сравнений “Рабочие места”</t>
  </si>
  <si>
    <t>Матрица парных сравнений “Развитие территории”</t>
  </si>
  <si>
    <t>G1</t>
  </si>
  <si>
    <t>Суммы столбцов</t>
  </si>
  <si>
    <t>λ</t>
  </si>
  <si>
    <t>ис</t>
  </si>
  <si>
    <t>слс</t>
  </si>
  <si>
    <t>ос</t>
  </si>
  <si>
    <t>Пл2</t>
  </si>
  <si>
    <t>для первого</t>
  </si>
  <si>
    <t>для второго</t>
  </si>
  <si>
    <t>Пл5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</si>
</sst>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12" fontId="0" fillId="0" borderId="1" xfId="0" applyNumberFormat="1" applyBorder="1" applyAlignment="1"/>
    <xf numFmtId="0" fontId="0" fillId="2" borderId="1" xfId="0" applyFill="1" applyBorder="1" applyAlignment="1">
      <alignment horizontal="center" vertical="center"/>
    </xf>
    <xf numFmtId="12" fontId="0" fillId="2" borderId="1" xfId="0" applyNumberFormat="1" applyFill="1" applyBorder="1" applyAlignment="1">
      <alignment horizontal="center" vertical="center"/>
    </xf>
    <xf numFmtId="12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/>
    <xf numFmtId="164" fontId="0" fillId="2" borderId="1" xfId="0" applyNumberForma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2" fontId="0" fillId="2" borderId="1" xfId="0" applyNumberFormat="1" applyFill="1" applyBorder="1" applyAlignment="1">
      <alignment horizontal="center"/>
    </xf>
    <xf numFmtId="12" fontId="0" fillId="2" borderId="1" xfId="0" applyNumberFormat="1" applyFill="1" applyBorder="1" applyAlignment="1">
      <alignment vertical="top"/>
    </xf>
    <xf numFmtId="12" fontId="0" fillId="2" borderId="1" xfId="0" applyNumberFormat="1" applyFill="1" applyBorder="1" applyAlignment="1">
      <alignment horizontal="center" vertical="top"/>
    </xf>
    <xf numFmtId="0" fontId="1" fillId="2" borderId="2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" xfId="0" applyNumberFormat="1" applyBorder="1"/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/>
    <xf numFmtId="0" fontId="2" fillId="3" borderId="0" xfId="0" applyFont="1" applyFill="1" applyAlignment="1">
      <alignment horizontal="right"/>
    </xf>
    <xf numFmtId="164" fontId="0" fillId="3" borderId="0" xfId="0" applyNumberFormat="1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/>
    <xf numFmtId="2" fontId="0" fillId="4" borderId="0" xfId="0" applyNumberFormat="1" applyFill="1"/>
    <xf numFmtId="0" fontId="2" fillId="4" borderId="0" xfId="0" applyFont="1" applyFill="1" applyAlignment="1">
      <alignment horizontal="right"/>
    </xf>
    <xf numFmtId="164" fontId="0" fillId="4" borderId="0" xfId="0" applyNumberFormat="1" applyFill="1" applyAlignment="1">
      <alignment horizontal="left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0" borderId="1" xfId="0" applyBorder="1" applyAlignment="1"/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CF54F-565A-4644-BDAA-5501636C2B09}">
  <dimension ref="A6:AF67"/>
  <sheetViews>
    <sheetView tabSelected="1" topLeftCell="A19" zoomScale="77" zoomScaleNormal="100" workbookViewId="0">
      <selection activeCell="K40" sqref="K40"/>
    </sheetView>
  </sheetViews>
  <sheetFormatPr defaultRowHeight="14.5" x14ac:dyDescent="0.35"/>
  <cols>
    <col min="10" max="10" width="9.08984375" bestFit="1" customWidth="1"/>
    <col min="11" max="11" width="9.26953125" bestFit="1" customWidth="1"/>
  </cols>
  <sheetData>
    <row r="6" spans="1:30" x14ac:dyDescent="0.35">
      <c r="P6" s="32" t="s">
        <v>41</v>
      </c>
      <c r="Q6" s="32"/>
      <c r="R6" s="32" t="s">
        <v>48</v>
      </c>
      <c r="S6" s="32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spans="1:30" x14ac:dyDescent="0.35"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spans="1:30" x14ac:dyDescent="0.35">
      <c r="E8" s="8"/>
      <c r="F8" s="8" t="s">
        <v>0</v>
      </c>
      <c r="G8" s="8" t="s">
        <v>1</v>
      </c>
      <c r="H8" s="8" t="s">
        <v>2</v>
      </c>
      <c r="J8" s="8"/>
      <c r="K8" s="8" t="s">
        <v>0</v>
      </c>
      <c r="L8" s="8" t="s">
        <v>1</v>
      </c>
      <c r="M8" s="8" t="s">
        <v>2</v>
      </c>
      <c r="P8" s="33" t="s">
        <v>0</v>
      </c>
      <c r="Q8" s="34">
        <f>SUM(F9:F11)</f>
        <v>1.3428571428571427</v>
      </c>
      <c r="R8" s="33"/>
      <c r="S8" s="33"/>
      <c r="T8" s="35" t="s">
        <v>42</v>
      </c>
      <c r="U8" s="36">
        <f>Q8*F20+Q9*F21+Q10*F22</f>
        <v>3.0648875798728188</v>
      </c>
      <c r="V8" s="33"/>
      <c r="W8" s="37" t="s">
        <v>43</v>
      </c>
      <c r="X8" s="36">
        <f>(U8-3)/(3-1)</f>
        <v>3.2443789936409395E-2</v>
      </c>
      <c r="Y8" s="33"/>
      <c r="Z8" s="37" t="s">
        <v>44</v>
      </c>
      <c r="AA8" s="38">
        <v>0.57999999999999996</v>
      </c>
      <c r="AB8" s="33"/>
      <c r="AC8" s="37" t="s">
        <v>45</v>
      </c>
      <c r="AD8" s="36">
        <f>X8/AA8</f>
        <v>5.5937568855878271E-2</v>
      </c>
    </row>
    <row r="9" spans="1:30" x14ac:dyDescent="0.35">
      <c r="A9" s="18" t="s">
        <v>36</v>
      </c>
      <c r="B9" s="18"/>
      <c r="C9" s="18"/>
      <c r="D9" s="19"/>
      <c r="E9" s="8" t="s">
        <v>0</v>
      </c>
      <c r="F9" s="9">
        <v>1</v>
      </c>
      <c r="G9" s="9">
        <v>5</v>
      </c>
      <c r="H9" s="9">
        <v>7</v>
      </c>
      <c r="J9" s="8" t="s">
        <v>0</v>
      </c>
      <c r="K9" s="9">
        <v>1</v>
      </c>
      <c r="L9" s="9">
        <v>7</v>
      </c>
      <c r="M9" s="9">
        <v>5</v>
      </c>
      <c r="P9" s="33" t="s">
        <v>1</v>
      </c>
      <c r="Q9" s="34">
        <f>SUM(G9:G11)</f>
        <v>6.333333333333333</v>
      </c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spans="1:30" x14ac:dyDescent="0.35">
      <c r="A10" s="18" t="s">
        <v>35</v>
      </c>
      <c r="B10" s="18"/>
      <c r="C10" s="18"/>
      <c r="D10" s="19"/>
      <c r="E10" s="8" t="s">
        <v>1</v>
      </c>
      <c r="F10" s="8">
        <v>0.2</v>
      </c>
      <c r="G10" s="9">
        <v>1</v>
      </c>
      <c r="H10" s="9">
        <v>3</v>
      </c>
      <c r="J10" s="8" t="s">
        <v>1</v>
      </c>
      <c r="K10" s="8">
        <v>0.14285714285714285</v>
      </c>
      <c r="L10" s="9">
        <v>1</v>
      </c>
      <c r="M10" s="8">
        <v>0.33333333333333331</v>
      </c>
      <c r="P10" s="33" t="s">
        <v>2</v>
      </c>
      <c r="Q10" s="34">
        <f>SUM(H9:H11)</f>
        <v>11</v>
      </c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spans="1:30" x14ac:dyDescent="0.35">
      <c r="A11" s="20" t="s">
        <v>34</v>
      </c>
      <c r="B11" s="20"/>
      <c r="C11" s="20"/>
      <c r="D11" s="21"/>
      <c r="E11" s="8" t="s">
        <v>2</v>
      </c>
      <c r="F11" s="8">
        <v>0.14285714285714285</v>
      </c>
      <c r="G11" s="8">
        <v>0.33333333333333331</v>
      </c>
      <c r="H11" s="9">
        <v>1</v>
      </c>
      <c r="J11" s="8" t="s">
        <v>2</v>
      </c>
      <c r="K11" s="8">
        <v>0.2</v>
      </c>
      <c r="L11" s="9">
        <v>3</v>
      </c>
      <c r="M11" s="9">
        <v>1</v>
      </c>
    </row>
    <row r="12" spans="1:30" x14ac:dyDescent="0.35">
      <c r="A12" s="14"/>
      <c r="B12" s="14"/>
      <c r="C12" s="14"/>
    </row>
    <row r="13" spans="1:30" x14ac:dyDescent="0.35">
      <c r="E13" s="17" t="s">
        <v>11</v>
      </c>
      <c r="F13" s="17"/>
      <c r="J13" s="17" t="s">
        <v>11</v>
      </c>
      <c r="K13" s="17"/>
      <c r="P13" s="39" t="s">
        <v>41</v>
      </c>
      <c r="Q13" s="39"/>
      <c r="R13" s="39" t="s">
        <v>47</v>
      </c>
      <c r="S13" s="39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</row>
    <row r="14" spans="1:30" x14ac:dyDescent="0.35">
      <c r="E14" s="10" t="s">
        <v>3</v>
      </c>
      <c r="F14" s="12">
        <f>GEOMEAN(F9:H9)</f>
        <v>3.2710663101885897</v>
      </c>
      <c r="J14" s="10" t="s">
        <v>3</v>
      </c>
      <c r="K14" s="12">
        <f>GEOMEAN(K9:M9)</f>
        <v>3.2710663101885897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</row>
    <row r="15" spans="1:30" x14ac:dyDescent="0.35">
      <c r="E15" s="10" t="s">
        <v>4</v>
      </c>
      <c r="F15" s="12">
        <f>GEOMEAN(F10:H10)</f>
        <v>0.84343266530174932</v>
      </c>
      <c r="J15" s="10" t="s">
        <v>4</v>
      </c>
      <c r="K15" s="12">
        <f>GEOMEAN(K10:M10)</f>
        <v>0.36246012433429736</v>
      </c>
      <c r="P15" s="40" t="s">
        <v>0</v>
      </c>
      <c r="Q15" s="41">
        <f>SUM(K9:K11)</f>
        <v>1.3428571428571427</v>
      </c>
      <c r="R15" s="40"/>
      <c r="S15" s="40"/>
      <c r="T15" s="42" t="s">
        <v>42</v>
      </c>
      <c r="U15" s="43">
        <f>Q15*K20+Q16*K21+Q17*K22</f>
        <v>3.0648875798728188</v>
      </c>
      <c r="V15" s="40"/>
      <c r="W15" s="44" t="s">
        <v>43</v>
      </c>
      <c r="X15" s="43">
        <f>(U15-3)/(3-1)</f>
        <v>3.2443789936409395E-2</v>
      </c>
      <c r="Y15" s="40"/>
      <c r="Z15" s="44" t="s">
        <v>44</v>
      </c>
      <c r="AA15" s="45">
        <v>0.57999999999999996</v>
      </c>
      <c r="AB15" s="40"/>
      <c r="AC15" s="44" t="s">
        <v>45</v>
      </c>
      <c r="AD15" s="43">
        <f>X15/AA15</f>
        <v>5.5937568855878271E-2</v>
      </c>
    </row>
    <row r="16" spans="1:30" x14ac:dyDescent="0.35">
      <c r="E16" s="10" t="s">
        <v>5</v>
      </c>
      <c r="F16" s="12">
        <f>GEOMEAN(F11:H11)</f>
        <v>0.36246012433429736</v>
      </c>
      <c r="J16" s="10" t="s">
        <v>5</v>
      </c>
      <c r="K16" s="12">
        <f>GEOMEAN(K11:M11)</f>
        <v>0.84343266530174932</v>
      </c>
      <c r="P16" s="40" t="s">
        <v>1</v>
      </c>
      <c r="Q16" s="41">
        <f>SUM(L9:L11)</f>
        <v>11</v>
      </c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</row>
    <row r="17" spans="4:32" x14ac:dyDescent="0.35">
      <c r="E17" s="10" t="s">
        <v>6</v>
      </c>
      <c r="F17" s="15">
        <f>SUM(F13:F16)</f>
        <v>4.4769590998246365</v>
      </c>
      <c r="J17" s="10" t="s">
        <v>6</v>
      </c>
      <c r="K17" s="15">
        <f>SUM(K13:K16)</f>
        <v>4.4769590998246365</v>
      </c>
      <c r="P17" s="40" t="s">
        <v>2</v>
      </c>
      <c r="Q17" s="41">
        <f>SUM(M9:M11)</f>
        <v>6.333333333333333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</row>
    <row r="19" spans="4:32" x14ac:dyDescent="0.35">
      <c r="E19" s="17" t="s">
        <v>7</v>
      </c>
      <c r="F19" s="17"/>
      <c r="J19" s="17" t="s">
        <v>7</v>
      </c>
      <c r="K19" s="17"/>
    </row>
    <row r="20" spans="4:32" x14ac:dyDescent="0.35">
      <c r="E20" s="4" t="s">
        <v>8</v>
      </c>
      <c r="F20" s="13">
        <f>F14/F17</f>
        <v>0.73064467136112954</v>
      </c>
      <c r="J20" s="4" t="s">
        <v>8</v>
      </c>
      <c r="K20" s="13">
        <f>K14/K17</f>
        <v>0.73064467136112954</v>
      </c>
    </row>
    <row r="21" spans="4:32" x14ac:dyDescent="0.35">
      <c r="E21" s="4" t="s">
        <v>9</v>
      </c>
      <c r="F21" s="13">
        <f>F15/F17</f>
        <v>0.1883940966391198</v>
      </c>
      <c r="J21" s="4" t="s">
        <v>9</v>
      </c>
      <c r="K21" s="13">
        <f>K15/K17</f>
        <v>8.096123199975068E-2</v>
      </c>
    </row>
    <row r="22" spans="4:32" x14ac:dyDescent="0.35">
      <c r="E22" s="4" t="s">
        <v>10</v>
      </c>
      <c r="F22" s="13">
        <f>F16/F17</f>
        <v>8.096123199975068E-2</v>
      </c>
      <c r="J22" s="4" t="s">
        <v>10</v>
      </c>
      <c r="K22" s="13">
        <f>K16/K17</f>
        <v>0.1883940966391198</v>
      </c>
    </row>
    <row r="27" spans="4:32" x14ac:dyDescent="0.35">
      <c r="E27" s="16" t="s">
        <v>39</v>
      </c>
      <c r="F27" s="16"/>
      <c r="G27" s="16"/>
      <c r="H27" s="16"/>
      <c r="I27" s="16"/>
      <c r="J27" s="16"/>
      <c r="L27" s="16" t="s">
        <v>33</v>
      </c>
      <c r="M27" s="16"/>
      <c r="N27" s="16"/>
      <c r="O27" s="16"/>
      <c r="P27" s="16"/>
      <c r="Q27" s="16"/>
      <c r="T27" s="28" t="s">
        <v>38</v>
      </c>
      <c r="U27" s="28"/>
      <c r="V27" s="28"/>
      <c r="W27" s="28"/>
      <c r="X27" s="28"/>
      <c r="Y27" s="28"/>
    </row>
    <row r="28" spans="4:32" x14ac:dyDescent="0.35">
      <c r="D28" s="7"/>
      <c r="E28" s="7" t="s">
        <v>32</v>
      </c>
      <c r="F28" s="7" t="s">
        <v>27</v>
      </c>
      <c r="G28" s="7" t="s">
        <v>28</v>
      </c>
      <c r="H28" s="7" t="s">
        <v>29</v>
      </c>
      <c r="I28" s="7" t="s">
        <v>30</v>
      </c>
      <c r="J28" s="7" t="s">
        <v>31</v>
      </c>
      <c r="L28" s="1"/>
      <c r="M28" s="7" t="s">
        <v>32</v>
      </c>
      <c r="N28" s="7" t="s">
        <v>27</v>
      </c>
      <c r="O28" s="7" t="s">
        <v>28</v>
      </c>
      <c r="P28" s="7" t="s">
        <v>29</v>
      </c>
      <c r="Q28" s="7" t="s">
        <v>30</v>
      </c>
      <c r="R28" s="7" t="s">
        <v>31</v>
      </c>
      <c r="T28" s="1"/>
      <c r="U28" s="7" t="s">
        <v>32</v>
      </c>
      <c r="V28" s="7" t="s">
        <v>27</v>
      </c>
      <c r="W28" s="7" t="s">
        <v>28</v>
      </c>
      <c r="X28" s="7" t="s">
        <v>29</v>
      </c>
      <c r="Y28" s="7" t="s">
        <v>30</v>
      </c>
      <c r="Z28" s="7" t="s">
        <v>31</v>
      </c>
      <c r="AB28" s="17" t="s">
        <v>25</v>
      </c>
      <c r="AC28" s="17"/>
      <c r="AE28" s="17" t="s">
        <v>25</v>
      </c>
      <c r="AF28" s="17"/>
    </row>
    <row r="29" spans="4:32" x14ac:dyDescent="0.35">
      <c r="D29" s="7" t="s">
        <v>32</v>
      </c>
      <c r="E29" s="9">
        <v>1</v>
      </c>
      <c r="F29" s="25">
        <v>0.5</v>
      </c>
      <c r="G29" s="9">
        <v>4</v>
      </c>
      <c r="H29" s="8">
        <v>0.33333333333333331</v>
      </c>
      <c r="I29" s="8">
        <v>0.5</v>
      </c>
      <c r="J29" s="9">
        <v>1</v>
      </c>
      <c r="L29" s="4" t="s">
        <v>32</v>
      </c>
      <c r="M29" s="4">
        <v>1</v>
      </c>
      <c r="N29" s="4">
        <v>2</v>
      </c>
      <c r="O29" s="5">
        <v>0.5</v>
      </c>
      <c r="P29" s="4">
        <v>2</v>
      </c>
      <c r="Q29" s="5">
        <v>0.33333333333333331</v>
      </c>
      <c r="R29" s="8">
        <v>0.5</v>
      </c>
      <c r="T29" s="7" t="s">
        <v>32</v>
      </c>
      <c r="U29" s="3">
        <v>1</v>
      </c>
      <c r="V29" s="2">
        <v>0.5</v>
      </c>
      <c r="W29" s="3">
        <v>1</v>
      </c>
      <c r="X29" s="3">
        <v>4</v>
      </c>
      <c r="Y29" s="3">
        <v>3</v>
      </c>
      <c r="Z29" s="9">
        <v>2</v>
      </c>
      <c r="AB29" s="10" t="s">
        <v>40</v>
      </c>
      <c r="AC29" s="12">
        <f>I37*F20+P37*F21+W37*F22</f>
        <v>0.12824524467041032</v>
      </c>
      <c r="AE29" s="10" t="s">
        <v>40</v>
      </c>
      <c r="AF29" s="12">
        <f>I37*$K$20+P37*$K$21+W37*$K$22</f>
        <v>0.14252425514654499</v>
      </c>
    </row>
    <row r="30" spans="4:32" x14ac:dyDescent="0.35">
      <c r="D30" s="7" t="s">
        <v>27</v>
      </c>
      <c r="E30" s="9">
        <v>2</v>
      </c>
      <c r="F30" s="26">
        <v>1</v>
      </c>
      <c r="G30" s="9">
        <v>5</v>
      </c>
      <c r="H30" s="8">
        <v>0.5</v>
      </c>
      <c r="I30" s="9">
        <v>1</v>
      </c>
      <c r="J30" s="9">
        <v>2</v>
      </c>
      <c r="L30" s="7" t="s">
        <v>27</v>
      </c>
      <c r="M30" s="2">
        <v>0.5</v>
      </c>
      <c r="N30" s="3">
        <v>1</v>
      </c>
      <c r="O30" s="2">
        <v>0.33333333333333331</v>
      </c>
      <c r="P30" s="6">
        <v>1</v>
      </c>
      <c r="Q30" s="2">
        <v>0.2</v>
      </c>
      <c r="R30" s="8">
        <v>0.25</v>
      </c>
      <c r="T30" s="7" t="s">
        <v>27</v>
      </c>
      <c r="U30" s="3">
        <v>2</v>
      </c>
      <c r="V30" s="3">
        <v>1</v>
      </c>
      <c r="W30" s="3">
        <v>2</v>
      </c>
      <c r="X30" s="3">
        <v>5</v>
      </c>
      <c r="Y30" s="3">
        <v>4</v>
      </c>
      <c r="Z30" s="9">
        <v>3</v>
      </c>
      <c r="AB30" s="10" t="s">
        <v>20</v>
      </c>
      <c r="AC30" s="12">
        <f>I38*F20+P38*F21+W38*F22</f>
        <v>0.19421882490038297</v>
      </c>
      <c r="AE30" s="10" t="s">
        <v>20</v>
      </c>
      <c r="AF30" s="12">
        <f>I38*$K$20+P38*$K$21+W38*$K$22</f>
        <v>0.23293588890828282</v>
      </c>
    </row>
    <row r="31" spans="4:32" x14ac:dyDescent="0.35">
      <c r="D31" s="7" t="s">
        <v>28</v>
      </c>
      <c r="E31" s="8">
        <v>0.25</v>
      </c>
      <c r="F31" s="27">
        <v>0.2</v>
      </c>
      <c r="G31" s="9">
        <v>1</v>
      </c>
      <c r="H31" s="8">
        <v>0.16666666666666666</v>
      </c>
      <c r="I31" s="8">
        <v>0.2</v>
      </c>
      <c r="J31" s="8">
        <v>0.25</v>
      </c>
      <c r="L31" s="7" t="s">
        <v>28</v>
      </c>
      <c r="M31" s="3">
        <v>2</v>
      </c>
      <c r="N31" s="3">
        <v>3</v>
      </c>
      <c r="O31" s="3">
        <v>1</v>
      </c>
      <c r="P31" s="6">
        <v>3</v>
      </c>
      <c r="Q31" s="2">
        <v>0.5</v>
      </c>
      <c r="R31" s="9">
        <v>1</v>
      </c>
      <c r="T31" s="7" t="s">
        <v>28</v>
      </c>
      <c r="U31" s="3">
        <v>1</v>
      </c>
      <c r="V31" s="2">
        <v>0.5</v>
      </c>
      <c r="W31" s="3">
        <v>1</v>
      </c>
      <c r="X31" s="3">
        <v>4</v>
      </c>
      <c r="Y31" s="3">
        <v>3</v>
      </c>
      <c r="Z31" s="9">
        <v>2</v>
      </c>
      <c r="AB31" s="10" t="s">
        <v>21</v>
      </c>
      <c r="AC31" s="12">
        <f>I39*F20+P39*F21+W39*F22</f>
        <v>9.0058561183017125E-2</v>
      </c>
      <c r="AE31" s="10" t="s">
        <v>21</v>
      </c>
      <c r="AF31" s="12">
        <f>I39*$K$20+P39*$K$21+W39*$K$22</f>
        <v>9.4289666669478939E-2</v>
      </c>
    </row>
    <row r="32" spans="4:32" x14ac:dyDescent="0.35">
      <c r="D32" s="7" t="s">
        <v>29</v>
      </c>
      <c r="E32" s="9">
        <v>3</v>
      </c>
      <c r="F32" s="26">
        <v>2</v>
      </c>
      <c r="G32" s="9">
        <v>6</v>
      </c>
      <c r="H32" s="9">
        <v>1</v>
      </c>
      <c r="I32" s="9">
        <v>2</v>
      </c>
      <c r="J32" s="9">
        <v>3</v>
      </c>
      <c r="L32" s="7" t="s">
        <v>29</v>
      </c>
      <c r="M32" s="2">
        <v>0.5</v>
      </c>
      <c r="N32" s="3">
        <v>1</v>
      </c>
      <c r="O32" s="2">
        <v>0.33333333333333331</v>
      </c>
      <c r="P32" s="6">
        <v>1</v>
      </c>
      <c r="Q32" s="2">
        <v>0.2</v>
      </c>
      <c r="R32" s="8">
        <v>0.25</v>
      </c>
      <c r="T32" s="7" t="s">
        <v>29</v>
      </c>
      <c r="U32" s="2">
        <v>0.25</v>
      </c>
      <c r="V32" s="2">
        <v>0.2</v>
      </c>
      <c r="W32" s="2">
        <v>0.25</v>
      </c>
      <c r="X32" s="3">
        <v>1</v>
      </c>
      <c r="Y32" s="2">
        <v>0.5</v>
      </c>
      <c r="Z32" s="8">
        <v>0.33333333333333331</v>
      </c>
      <c r="AB32" s="10" t="s">
        <v>22</v>
      </c>
      <c r="AC32" s="12">
        <f>I40*F20+P40*F21+W40*F22</f>
        <v>0.26237021642836872</v>
      </c>
      <c r="AE32" s="10" t="s">
        <v>22</v>
      </c>
      <c r="AF32" s="12">
        <f>I40*$K$20+P40*$K$21+W40*$K$22</f>
        <v>0.26156261177482559</v>
      </c>
    </row>
    <row r="33" spans="4:32" x14ac:dyDescent="0.35">
      <c r="D33" s="7" t="s">
        <v>30</v>
      </c>
      <c r="E33" s="9">
        <v>2</v>
      </c>
      <c r="F33" s="26">
        <v>1</v>
      </c>
      <c r="G33" s="9">
        <v>5</v>
      </c>
      <c r="H33" s="8">
        <v>0.5</v>
      </c>
      <c r="I33" s="9">
        <v>1</v>
      </c>
      <c r="J33" s="9">
        <v>2</v>
      </c>
      <c r="L33" s="7" t="s">
        <v>30</v>
      </c>
      <c r="M33" s="3">
        <v>3</v>
      </c>
      <c r="N33" s="3">
        <v>5</v>
      </c>
      <c r="O33" s="3">
        <v>2</v>
      </c>
      <c r="P33" s="6">
        <v>5</v>
      </c>
      <c r="Q33" s="3">
        <v>1</v>
      </c>
      <c r="R33" s="9">
        <v>2</v>
      </c>
      <c r="T33" s="7" t="s">
        <v>30</v>
      </c>
      <c r="U33" s="2">
        <v>0.33333333333333331</v>
      </c>
      <c r="V33" s="2">
        <v>0.25</v>
      </c>
      <c r="W33" s="2">
        <v>0.33333333333333331</v>
      </c>
      <c r="X33" s="3">
        <v>2</v>
      </c>
      <c r="Y33" s="3">
        <v>1</v>
      </c>
      <c r="Z33" s="8">
        <v>0.5</v>
      </c>
      <c r="AB33" s="10" t="s">
        <v>23</v>
      </c>
      <c r="AC33" s="12">
        <f>I41*F20+P41*F21+W41*F22</f>
        <v>0.22889802906180651</v>
      </c>
      <c r="AE33" s="10" t="s">
        <v>23</v>
      </c>
      <c r="AF33" s="12">
        <f>I41*$K$20+P41*$K$21+W41*$K$22</f>
        <v>0.196434639607801</v>
      </c>
    </row>
    <row r="34" spans="4:32" x14ac:dyDescent="0.35">
      <c r="D34" s="7" t="s">
        <v>31</v>
      </c>
      <c r="E34" s="9">
        <v>1</v>
      </c>
      <c r="F34" s="27">
        <v>0.5</v>
      </c>
      <c r="G34" s="9">
        <v>4</v>
      </c>
      <c r="H34" s="8">
        <v>0.33333333333333331</v>
      </c>
      <c r="I34" s="8">
        <v>0.5</v>
      </c>
      <c r="J34" s="9">
        <v>1</v>
      </c>
      <c r="L34" s="7" t="s">
        <v>31</v>
      </c>
      <c r="M34" s="3">
        <v>2</v>
      </c>
      <c r="N34" s="3">
        <v>4</v>
      </c>
      <c r="O34" s="3">
        <v>1</v>
      </c>
      <c r="P34" s="6">
        <v>4</v>
      </c>
      <c r="Q34" s="2">
        <v>0.5</v>
      </c>
      <c r="R34" s="9">
        <v>1</v>
      </c>
      <c r="T34" s="7" t="s">
        <v>31</v>
      </c>
      <c r="U34" s="2">
        <v>0.5</v>
      </c>
      <c r="V34" s="2">
        <v>0.33333333333333331</v>
      </c>
      <c r="W34" s="2">
        <v>0.5</v>
      </c>
      <c r="X34" s="3">
        <v>3</v>
      </c>
      <c r="Y34" s="3">
        <v>2</v>
      </c>
      <c r="Z34" s="9">
        <v>1</v>
      </c>
      <c r="AB34" s="10" t="s">
        <v>24</v>
      </c>
      <c r="AC34" s="12">
        <f>I42*F20+P42*F21+W42*F22</f>
        <v>0.14138277682553363</v>
      </c>
      <c r="AE34" s="10" t="s">
        <v>24</v>
      </c>
      <c r="AF34" s="12">
        <f>I42*$K$20+P42*$K$21+W42*$K$22</f>
        <v>0.13170560143872059</v>
      </c>
    </row>
    <row r="35" spans="4:32" x14ac:dyDescent="0.35">
      <c r="AB35" s="11" t="s">
        <v>26</v>
      </c>
      <c r="AC35" s="11" t="s">
        <v>49</v>
      </c>
      <c r="AE35" s="11" t="s">
        <v>26</v>
      </c>
      <c r="AF35" s="11" t="s">
        <v>46</v>
      </c>
    </row>
    <row r="36" spans="4:32" x14ac:dyDescent="0.35">
      <c r="E36" s="17" t="s">
        <v>11</v>
      </c>
      <c r="F36" s="17"/>
      <c r="H36" s="17" t="s">
        <v>7</v>
      </c>
      <c r="I36" s="17"/>
      <c r="L36" s="17" t="s">
        <v>11</v>
      </c>
      <c r="M36" s="17"/>
      <c r="O36" s="17" t="s">
        <v>7</v>
      </c>
      <c r="P36" s="17"/>
      <c r="S36" s="17" t="s">
        <v>11</v>
      </c>
      <c r="T36" s="17"/>
      <c r="V36" s="17" t="s">
        <v>7</v>
      </c>
      <c r="W36" s="17"/>
    </row>
    <row r="37" spans="4:32" x14ac:dyDescent="0.35">
      <c r="E37" s="10" t="s">
        <v>3</v>
      </c>
      <c r="F37" s="12">
        <f>GEOMEAN(E29:J29)</f>
        <v>0.83268317765560429</v>
      </c>
      <c r="H37" s="10" t="s">
        <v>37</v>
      </c>
      <c r="I37" s="12">
        <f>F37/F43</f>
        <v>0.11369629432338932</v>
      </c>
      <c r="L37" s="4" t="s">
        <v>3</v>
      </c>
      <c r="M37" s="13">
        <f>GEOMEAN(M29:R29)</f>
        <v>0.83268317765560429</v>
      </c>
      <c r="O37" s="4" t="s">
        <v>37</v>
      </c>
      <c r="P37" s="13">
        <f>M37/M43</f>
        <v>0.12776065794000691</v>
      </c>
      <c r="S37" s="4" t="s">
        <v>3</v>
      </c>
      <c r="T37" s="13">
        <f>GEOMEAN(U29:Z29)</f>
        <v>1.5130857494229015</v>
      </c>
      <c r="V37" s="4" t="s">
        <v>37</v>
      </c>
      <c r="W37" s="13">
        <f>T37/T43</f>
        <v>0.26067166728585711</v>
      </c>
    </row>
    <row r="38" spans="4:32" x14ac:dyDescent="0.35">
      <c r="E38" s="10" t="s">
        <v>4</v>
      </c>
      <c r="F38" s="12">
        <f>GEOMEAN(E30:J30)</f>
        <v>1.4677992676220697</v>
      </c>
      <c r="H38" s="10" t="s">
        <v>15</v>
      </c>
      <c r="I38" s="12">
        <f>F38/F43</f>
        <v>0.20041636725395293</v>
      </c>
      <c r="L38" s="4" t="s">
        <v>4</v>
      </c>
      <c r="M38" s="13">
        <f>GEOMEAN(M30:R30)</f>
        <v>0.45026666156746864</v>
      </c>
      <c r="O38" s="4" t="s">
        <v>15</v>
      </c>
      <c r="P38" s="13">
        <f>M38/M43</f>
        <v>6.9085537541750341E-2</v>
      </c>
      <c r="S38" s="4" t="s">
        <v>4</v>
      </c>
      <c r="T38" s="13">
        <f>GEOMEAN(U30:Z30)</f>
        <v>2.4928828716784346</v>
      </c>
      <c r="V38" s="4" t="s">
        <v>15</v>
      </c>
      <c r="W38" s="13">
        <f>T38/T43</f>
        <v>0.42946933758157402</v>
      </c>
    </row>
    <row r="39" spans="4:32" x14ac:dyDescent="0.35">
      <c r="E39" s="10" t="s">
        <v>5</v>
      </c>
      <c r="F39" s="12">
        <f>GEOMEAN(E31:J31)</f>
        <v>0.27329485745122628</v>
      </c>
      <c r="H39" s="10" t="s">
        <v>16</v>
      </c>
      <c r="I39" s="12">
        <f>F39/F43</f>
        <v>3.7316248704972528E-2</v>
      </c>
      <c r="L39" s="4" t="s">
        <v>5</v>
      </c>
      <c r="M39" s="13">
        <f>GEOMEAN(M31:R31)</f>
        <v>1.4422495703074083</v>
      </c>
      <c r="O39" s="4" t="s">
        <v>16</v>
      </c>
      <c r="P39" s="13">
        <f>M39/M43</f>
        <v>0.22128795076052005</v>
      </c>
      <c r="S39" s="4" t="s">
        <v>5</v>
      </c>
      <c r="T39" s="13">
        <f>GEOMEAN(U31:Z31)</f>
        <v>1.5130857494229015</v>
      </c>
      <c r="V39" s="4" t="s">
        <v>16</v>
      </c>
      <c r="W39" s="13">
        <f>T39/T43</f>
        <v>0.26067166728585711</v>
      </c>
    </row>
    <row r="40" spans="4:32" x14ac:dyDescent="0.35">
      <c r="E40" s="10" t="s">
        <v>12</v>
      </c>
      <c r="F40" s="12">
        <f>GEOMEAN(E32:J32)</f>
        <v>2.4494897427831779</v>
      </c>
      <c r="H40" s="10" t="s">
        <v>17</v>
      </c>
      <c r="I40" s="12">
        <f>F40/F43</f>
        <v>0.33445842814034299</v>
      </c>
      <c r="L40" s="4" t="s">
        <v>12</v>
      </c>
      <c r="M40" s="13">
        <f>GEOMEAN(M32:R32)</f>
        <v>0.45026666156746864</v>
      </c>
      <c r="O40" s="4" t="s">
        <v>17</v>
      </c>
      <c r="P40" s="13">
        <f>M40/M43</f>
        <v>6.9085537541750341E-2</v>
      </c>
      <c r="S40" s="4" t="s">
        <v>12</v>
      </c>
      <c r="T40" s="13">
        <f>GEOMEAN(U32:Z32)</f>
        <v>0.35737688611920448</v>
      </c>
      <c r="V40" s="4" t="s">
        <v>17</v>
      </c>
      <c r="W40" s="13">
        <f>T40/T43</f>
        <v>6.1568241449403552E-2</v>
      </c>
    </row>
    <row r="41" spans="4:32" x14ac:dyDescent="0.35">
      <c r="E41" s="10" t="s">
        <v>13</v>
      </c>
      <c r="F41" s="12">
        <f>GEOMEAN(E33:J33)</f>
        <v>1.4677992676220697</v>
      </c>
      <c r="H41" s="10" t="s">
        <v>18</v>
      </c>
      <c r="I41" s="12">
        <f>F41/F43</f>
        <v>0.20041636725395293</v>
      </c>
      <c r="L41" s="4" t="s">
        <v>13</v>
      </c>
      <c r="M41" s="13">
        <f>GEOMEAN(M33:R33)</f>
        <v>2.5873402367724454</v>
      </c>
      <c r="O41" s="4" t="s">
        <v>18</v>
      </c>
      <c r="P41" s="13">
        <f>M41/M43</f>
        <v>0.39698206933324143</v>
      </c>
      <c r="S41" s="4" t="s">
        <v>13</v>
      </c>
      <c r="T41" s="13">
        <f>GEOMEAN(U33:Z33)</f>
        <v>0.55032120814910446</v>
      </c>
      <c r="V41" s="4" t="s">
        <v>18</v>
      </c>
      <c r="W41" s="13">
        <f>T41/T43</f>
        <v>9.4808339134585085E-2</v>
      </c>
    </row>
    <row r="42" spans="4:32" x14ac:dyDescent="0.35">
      <c r="E42" s="10" t="s">
        <v>14</v>
      </c>
      <c r="F42" s="12">
        <f>GEOMEAN(E34:J34)</f>
        <v>0.83268317765560429</v>
      </c>
      <c r="H42" s="10" t="s">
        <v>19</v>
      </c>
      <c r="I42" s="12">
        <f>F42/F43</f>
        <v>0.11369629432338932</v>
      </c>
      <c r="L42" s="4" t="s">
        <v>14</v>
      </c>
      <c r="M42" s="13">
        <f>GEOMEAN(M34:R34)</f>
        <v>1.5874010519681994</v>
      </c>
      <c r="O42" s="4" t="s">
        <v>19</v>
      </c>
      <c r="P42" s="13">
        <f>M42/M43</f>
        <v>0.24355890482273787</v>
      </c>
      <c r="S42" s="4" t="s">
        <v>14</v>
      </c>
      <c r="T42" s="13">
        <f>GEOMEAN(U34:Z34)</f>
        <v>0.89089871814033927</v>
      </c>
      <c r="V42" s="4" t="s">
        <v>19</v>
      </c>
      <c r="W42" s="13">
        <f>T42/T43</f>
        <v>0.15348241454858033</v>
      </c>
    </row>
    <row r="43" spans="4:32" x14ac:dyDescent="0.35">
      <c r="E43" s="10" t="s">
        <v>6</v>
      </c>
      <c r="F43" s="12">
        <f>SUM(F37:F42)</f>
        <v>7.3237494907897522</v>
      </c>
      <c r="L43" s="10" t="s">
        <v>6</v>
      </c>
      <c r="M43" s="13">
        <f>SUM(M38:M42)</f>
        <v>6.5175241821829903</v>
      </c>
      <c r="S43" s="10" t="s">
        <v>6</v>
      </c>
      <c r="T43" s="13">
        <f>SUM(T38:T42)</f>
        <v>5.8045654335099837</v>
      </c>
    </row>
    <row r="44" spans="4:32" x14ac:dyDescent="0.35">
      <c r="I44" s="47">
        <f>SUM(I37:I42)</f>
        <v>1</v>
      </c>
    </row>
    <row r="48" spans="4:32" x14ac:dyDescent="0.35">
      <c r="E48" s="46" t="s">
        <v>41</v>
      </c>
      <c r="F48" s="46"/>
      <c r="L48" s="29" t="s">
        <v>41</v>
      </c>
      <c r="M48" s="29"/>
      <c r="T48" s="29" t="s">
        <v>41</v>
      </c>
      <c r="U48" s="29"/>
    </row>
    <row r="49" spans="5:21" x14ac:dyDescent="0.35">
      <c r="E49" s="30" t="s">
        <v>32</v>
      </c>
      <c r="F49" s="31">
        <f>SUM(E29:E34)</f>
        <v>9.25</v>
      </c>
      <c r="L49" s="30" t="s">
        <v>32</v>
      </c>
      <c r="M49" s="31">
        <f>SUM(M29:M34)</f>
        <v>9</v>
      </c>
      <c r="T49" s="30" t="s">
        <v>32</v>
      </c>
      <c r="U49" s="31">
        <f>SUM(U29:U34)</f>
        <v>5.083333333333333</v>
      </c>
    </row>
    <row r="50" spans="5:21" x14ac:dyDescent="0.35">
      <c r="E50" s="30" t="s">
        <v>27</v>
      </c>
      <c r="F50" s="31">
        <f>SUM(F29:F34)</f>
        <v>5.2</v>
      </c>
      <c r="L50" s="30" t="s">
        <v>27</v>
      </c>
      <c r="M50" s="31">
        <f>SUM(N29:N34)</f>
        <v>16</v>
      </c>
      <c r="T50" s="30" t="s">
        <v>27</v>
      </c>
      <c r="U50" s="31">
        <f>SUM(V29:V34)</f>
        <v>2.7833333333333337</v>
      </c>
    </row>
    <row r="51" spans="5:21" x14ac:dyDescent="0.35">
      <c r="E51" s="30" t="s">
        <v>28</v>
      </c>
      <c r="F51" s="31">
        <f>SUM(G29:G34)</f>
        <v>25</v>
      </c>
      <c r="L51" s="30" t="s">
        <v>28</v>
      </c>
      <c r="M51" s="31">
        <f>SUM(O29:O34)</f>
        <v>5.1666666666666661</v>
      </c>
      <c r="T51" s="30" t="s">
        <v>28</v>
      </c>
      <c r="U51" s="31">
        <f>SUM(W29:W34)</f>
        <v>5.083333333333333</v>
      </c>
    </row>
    <row r="52" spans="5:21" x14ac:dyDescent="0.35">
      <c r="E52" s="30" t="s">
        <v>29</v>
      </c>
      <c r="F52" s="31">
        <f>SUM(H29:H34)</f>
        <v>2.8333333333333335</v>
      </c>
      <c r="L52" s="30" t="s">
        <v>29</v>
      </c>
      <c r="M52" s="31">
        <f>SUM(P29:P34)</f>
        <v>16</v>
      </c>
      <c r="T52" s="30" t="s">
        <v>29</v>
      </c>
      <c r="U52" s="31">
        <f>SUM(X29:X34)</f>
        <v>19</v>
      </c>
    </row>
    <row r="53" spans="5:21" x14ac:dyDescent="0.35">
      <c r="E53" s="30" t="s">
        <v>30</v>
      </c>
      <c r="F53" s="31">
        <f>SUM(I29:I34)</f>
        <v>5.2</v>
      </c>
      <c r="L53" s="30" t="s">
        <v>30</v>
      </c>
      <c r="M53" s="31">
        <f>SUM(Q29:Q34)</f>
        <v>2.7333333333333334</v>
      </c>
      <c r="T53" s="30" t="s">
        <v>30</v>
      </c>
      <c r="U53" s="31">
        <f>SUM(Y29:Y34)</f>
        <v>13.5</v>
      </c>
    </row>
    <row r="54" spans="5:21" x14ac:dyDescent="0.35">
      <c r="E54" s="30" t="s">
        <v>31</v>
      </c>
      <c r="F54" s="31">
        <f>SUM(J29:J34)</f>
        <v>9.25</v>
      </c>
      <c r="L54" s="30" t="s">
        <v>31</v>
      </c>
      <c r="M54" s="31">
        <f>SUM(R29:R34)</f>
        <v>5</v>
      </c>
      <c r="T54" s="30" t="s">
        <v>31</v>
      </c>
      <c r="U54" s="31">
        <f>SUM(Z29:Z34)</f>
        <v>8.8333333333333321</v>
      </c>
    </row>
    <row r="61" spans="5:21" x14ac:dyDescent="0.35">
      <c r="E61" s="22" t="s">
        <v>42</v>
      </c>
      <c r="F61" s="23">
        <f>F49*I37+F50*I38+F51*I39+F52*I40+F53*I41+F54*I42</f>
        <v>6.0682500951124316</v>
      </c>
      <c r="L61" s="22" t="s">
        <v>42</v>
      </c>
      <c r="M61" s="23">
        <f>M49*P37+M50*P38+M51*P39+M52*P40+M53*P41+M54*P42</f>
        <v>6.8067830486833092</v>
      </c>
      <c r="T61" s="22" t="s">
        <v>42</v>
      </c>
      <c r="U61" s="23">
        <f>U49*W37+U50*W38+U51*W39+U52*W40+U53*W41+U54*W42</f>
        <v>7.6509887680429545</v>
      </c>
    </row>
    <row r="63" spans="5:21" x14ac:dyDescent="0.35">
      <c r="E63" s="24" t="s">
        <v>43</v>
      </c>
      <c r="F63" s="23">
        <f>(F61-3)/(3-1)</f>
        <v>1.5341250475562158</v>
      </c>
      <c r="L63" s="24" t="s">
        <v>43</v>
      </c>
      <c r="M63" s="23">
        <f>(M61-3)/(3-1)</f>
        <v>1.9033915243416546</v>
      </c>
      <c r="T63" s="24" t="s">
        <v>43</v>
      </c>
      <c r="U63" s="23">
        <f>(U61-3)/(3-1)</f>
        <v>2.3254943840214772</v>
      </c>
    </row>
    <row r="65" spans="5:21" x14ac:dyDescent="0.35">
      <c r="E65" s="24" t="s">
        <v>44</v>
      </c>
      <c r="F65" s="23">
        <v>1.1200000000000001</v>
      </c>
      <c r="L65" s="24" t="s">
        <v>44</v>
      </c>
      <c r="M65" s="23">
        <v>1.1200000000000001</v>
      </c>
      <c r="T65" s="24" t="s">
        <v>44</v>
      </c>
      <c r="U65" s="23">
        <v>1.1200000000000001</v>
      </c>
    </row>
    <row r="67" spans="5:21" x14ac:dyDescent="0.35">
      <c r="E67" s="24" t="s">
        <v>45</v>
      </c>
      <c r="F67" s="23">
        <f>F63/F65</f>
        <v>1.369754506746621</v>
      </c>
      <c r="L67" s="24" t="s">
        <v>45</v>
      </c>
      <c r="M67" s="23">
        <f>M63/M65</f>
        <v>1.6994567181621913</v>
      </c>
      <c r="T67" s="24" t="s">
        <v>45</v>
      </c>
      <c r="U67" s="23">
        <f>U63/U65</f>
        <v>2.0763342714477475</v>
      </c>
    </row>
  </sheetData>
  <mergeCells count="23">
    <mergeCell ref="T48:U48"/>
    <mergeCell ref="P6:Q6"/>
    <mergeCell ref="P13:Q13"/>
    <mergeCell ref="R13:S13"/>
    <mergeCell ref="R6:S6"/>
    <mergeCell ref="L48:M48"/>
    <mergeCell ref="L27:Q27"/>
    <mergeCell ref="AE28:AF28"/>
    <mergeCell ref="L36:M36"/>
    <mergeCell ref="O36:P36"/>
    <mergeCell ref="S36:T36"/>
    <mergeCell ref="V36:W36"/>
    <mergeCell ref="A10:D10"/>
    <mergeCell ref="A9:D9"/>
    <mergeCell ref="A11:D11"/>
    <mergeCell ref="E13:F13"/>
    <mergeCell ref="J13:K13"/>
    <mergeCell ref="E27:J27"/>
    <mergeCell ref="E36:F36"/>
    <mergeCell ref="H36:I36"/>
    <mergeCell ref="AB28:AC28"/>
    <mergeCell ref="E19:F19"/>
    <mergeCell ref="J19:K19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Анжелика Деркач</dc:creator>
  <cp:lastModifiedBy>Губаревич Настя</cp:lastModifiedBy>
  <dcterms:created xsi:type="dcterms:W3CDTF">2022-01-30T08:16:14Z</dcterms:created>
  <dcterms:modified xsi:type="dcterms:W3CDTF">2026-02-25T15:42:20Z</dcterms:modified>
</cp:coreProperties>
</file>