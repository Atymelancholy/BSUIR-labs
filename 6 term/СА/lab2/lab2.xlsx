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yme\OneDrive\Документы\GitHub\BSUIR-labs\6 term\СА\lab2\"/>
    </mc:Choice>
  </mc:AlternateContent>
  <xr:revisionPtr revIDLastSave="0" documentId="13_ncr:1_{FC206C28-A69F-4D6F-96C1-F118F794408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2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1" i="3" l="1"/>
  <c r="F50" i="3"/>
  <c r="F49" i="3"/>
  <c r="F48" i="3"/>
  <c r="F46" i="3"/>
  <c r="F47" i="3"/>
  <c r="I42" i="3"/>
  <c r="I39" i="3"/>
  <c r="I37" i="3"/>
  <c r="I41" i="3"/>
  <c r="I40" i="3"/>
  <c r="I38" i="3"/>
  <c r="F42" i="3"/>
  <c r="F41" i="3"/>
  <c r="F40" i="3"/>
  <c r="F39" i="3"/>
  <c r="F38" i="3"/>
  <c r="F37" i="3"/>
  <c r="U19" i="3"/>
  <c r="U18" i="3"/>
  <c r="R23" i="3"/>
  <c r="R21" i="3"/>
  <c r="R22" i="3"/>
  <c r="R20" i="3"/>
  <c r="R19" i="3"/>
  <c r="R18" i="3"/>
  <c r="N21" i="3"/>
  <c r="N20" i="3"/>
  <c r="N19" i="3"/>
  <c r="N18" i="3"/>
  <c r="N23" i="3"/>
  <c r="N22" i="3"/>
  <c r="K23" i="3"/>
  <c r="K21" i="3"/>
  <c r="K22" i="3"/>
  <c r="K20" i="3"/>
  <c r="K19" i="3"/>
  <c r="K18" i="3"/>
  <c r="F14" i="3"/>
  <c r="F15" i="3"/>
  <c r="F16" i="3"/>
  <c r="F43" i="3" l="1"/>
  <c r="R24" i="3"/>
  <c r="U22" i="3" s="1"/>
  <c r="K24" i="3"/>
  <c r="U23" i="3" l="1"/>
  <c r="U20" i="3"/>
  <c r="U21" i="3"/>
  <c r="F17" i="3" l="1"/>
  <c r="F22" i="3" l="1"/>
  <c r="F21" i="3"/>
  <c r="F20" i="3"/>
</calcChain>
</file>

<file path=xl/sharedStrings.xml><?xml version="1.0" encoding="utf-8"?>
<sst xmlns="http://schemas.openxmlformats.org/spreadsheetml/2006/main" count="108" uniqueCount="42">
  <si>
    <t>K1</t>
  </si>
  <si>
    <t>K2</t>
  </si>
  <si>
    <t>K3</t>
  </si>
  <si>
    <t>C1</t>
  </si>
  <si>
    <t>C2</t>
  </si>
  <si>
    <t>C3</t>
  </si>
  <si>
    <t>Сумма:</t>
  </si>
  <si>
    <t>Локал. приоритеты</t>
  </si>
  <si>
    <t>Lk1</t>
  </si>
  <si>
    <t>Lk2</t>
  </si>
  <si>
    <t>Lk3</t>
  </si>
  <si>
    <t>Пл6</t>
  </si>
  <si>
    <t>Ср. геом. cтрок</t>
  </si>
  <si>
    <t>C4</t>
  </si>
  <si>
    <t>C5</t>
  </si>
  <si>
    <t>C6</t>
  </si>
  <si>
    <t>L2</t>
  </si>
  <si>
    <t>L3</t>
  </si>
  <si>
    <t>L4</t>
  </si>
  <si>
    <t>L5</t>
  </si>
  <si>
    <t>L6</t>
  </si>
  <si>
    <t>G2</t>
  </si>
  <si>
    <t>G3</t>
  </si>
  <si>
    <t>G4</t>
  </si>
  <si>
    <t>G5</t>
  </si>
  <si>
    <t>G6</t>
  </si>
  <si>
    <t>Глобал. приоритеты</t>
  </si>
  <si>
    <t>Наил-й:</t>
  </si>
  <si>
    <t>М2</t>
  </si>
  <si>
    <t>М3</t>
  </si>
  <si>
    <t>М4</t>
  </si>
  <si>
    <t>М5</t>
  </si>
  <si>
    <t>М6</t>
  </si>
  <si>
    <t>М1</t>
  </si>
  <si>
    <t>Матрица парных сравнений по критерию "Прибыль"</t>
  </si>
  <si>
    <t>Возможности развитиея территории</t>
  </si>
  <si>
    <t>Новые рабочие места</t>
  </si>
  <si>
    <t>Прибыль</t>
  </si>
  <si>
    <t>L1</t>
  </si>
  <si>
    <t>Матрица парных сравнений “Рабочие места”</t>
  </si>
  <si>
    <t>Матрица парных сравнений “Развитие территории”</t>
  </si>
  <si>
    <t>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</si>
</sst>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1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12" fontId="0" fillId="0" borderId="1" xfId="0" applyNumberFormat="1" applyBorder="1" applyAlignment="1">
      <alignment horizontal="center"/>
    </xf>
    <xf numFmtId="12" fontId="0" fillId="0" borderId="1" xfId="0" applyNumberFormat="1" applyBorder="1" applyAlignment="1"/>
    <xf numFmtId="0" fontId="0" fillId="2" borderId="1" xfId="0" applyFill="1" applyBorder="1" applyAlignment="1">
      <alignment horizontal="center" vertical="center"/>
    </xf>
    <xf numFmtId="12" fontId="0" fillId="2" borderId="1" xfId="0" applyNumberFormat="1" applyFill="1" applyBorder="1" applyAlignment="1">
      <alignment horizontal="center" vertical="center"/>
    </xf>
    <xf numFmtId="12" fontId="0" fillId="2" borderId="1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6" fontId="0" fillId="2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CF54F-565A-4644-BDAA-5501636C2B09}">
  <dimension ref="A7:V52"/>
  <sheetViews>
    <sheetView tabSelected="1" zoomScale="104" workbookViewId="0">
      <selection activeCell="J4" sqref="J4"/>
    </sheetView>
  </sheetViews>
  <sheetFormatPr defaultRowHeight="14.5" x14ac:dyDescent="0.35"/>
  <cols>
    <col min="11" max="11" width="9.26953125" bestFit="1" customWidth="1"/>
  </cols>
  <sheetData>
    <row r="7" spans="1:22" x14ac:dyDescent="0.35">
      <c r="J7" s="5" t="s">
        <v>34</v>
      </c>
      <c r="K7" s="5"/>
      <c r="L7" s="5"/>
      <c r="M7" s="5"/>
      <c r="N7" s="5"/>
      <c r="O7" s="5"/>
      <c r="Q7" s="5" t="s">
        <v>39</v>
      </c>
      <c r="R7" s="5"/>
      <c r="S7" s="5"/>
      <c r="T7" s="5"/>
      <c r="U7" s="5"/>
      <c r="V7" s="5"/>
    </row>
    <row r="8" spans="1:22" x14ac:dyDescent="0.35">
      <c r="E8" s="9"/>
      <c r="F8" s="9" t="s">
        <v>0</v>
      </c>
      <c r="G8" s="9" t="s">
        <v>1</v>
      </c>
      <c r="H8" s="9" t="s">
        <v>2</v>
      </c>
      <c r="J8" s="1"/>
      <c r="K8" s="8" t="s">
        <v>33</v>
      </c>
      <c r="L8" s="8" t="s">
        <v>28</v>
      </c>
      <c r="M8" s="8" t="s">
        <v>29</v>
      </c>
      <c r="N8" s="8" t="s">
        <v>30</v>
      </c>
      <c r="O8" s="8" t="s">
        <v>31</v>
      </c>
      <c r="Q8" s="1"/>
      <c r="R8" s="8" t="s">
        <v>33</v>
      </c>
      <c r="S8" s="8" t="s">
        <v>28</v>
      </c>
      <c r="T8" s="8" t="s">
        <v>29</v>
      </c>
      <c r="U8" s="8" t="s">
        <v>30</v>
      </c>
      <c r="V8" s="8" t="s">
        <v>31</v>
      </c>
    </row>
    <row r="9" spans="1:22" x14ac:dyDescent="0.35">
      <c r="A9" s="16" t="s">
        <v>37</v>
      </c>
      <c r="B9" s="16"/>
      <c r="C9" s="16"/>
      <c r="D9" s="17"/>
      <c r="E9" s="9" t="s">
        <v>0</v>
      </c>
      <c r="F9" s="10">
        <v>1</v>
      </c>
      <c r="G9" s="10">
        <v>5</v>
      </c>
      <c r="H9" s="10">
        <v>7</v>
      </c>
      <c r="J9" s="4" t="s">
        <v>33</v>
      </c>
      <c r="K9" s="4">
        <v>1</v>
      </c>
      <c r="L9" s="4">
        <v>2</v>
      </c>
      <c r="M9" s="6">
        <v>0.5</v>
      </c>
      <c r="N9" s="4">
        <v>2</v>
      </c>
      <c r="O9" s="6">
        <v>0.33333333333333331</v>
      </c>
      <c r="Q9" s="8" t="s">
        <v>33</v>
      </c>
      <c r="R9" s="3">
        <v>1</v>
      </c>
      <c r="S9" s="2">
        <v>0.5</v>
      </c>
      <c r="T9" s="3">
        <v>1</v>
      </c>
      <c r="U9" s="3">
        <v>4</v>
      </c>
      <c r="V9" s="3">
        <v>3</v>
      </c>
    </row>
    <row r="10" spans="1:22" x14ac:dyDescent="0.35">
      <c r="A10" s="16" t="s">
        <v>36</v>
      </c>
      <c r="B10" s="16"/>
      <c r="C10" s="16"/>
      <c r="D10" s="17"/>
      <c r="E10" s="9" t="s">
        <v>1</v>
      </c>
      <c r="F10" s="9">
        <v>0.2</v>
      </c>
      <c r="G10" s="10">
        <v>1</v>
      </c>
      <c r="H10" s="10">
        <v>2</v>
      </c>
      <c r="J10" s="8" t="s">
        <v>28</v>
      </c>
      <c r="K10" s="2">
        <v>0.5</v>
      </c>
      <c r="L10" s="3">
        <v>1</v>
      </c>
      <c r="M10" s="2">
        <v>0.33333333333333331</v>
      </c>
      <c r="N10" s="7">
        <v>1</v>
      </c>
      <c r="O10" s="2">
        <v>0.2</v>
      </c>
      <c r="Q10" s="8" t="s">
        <v>28</v>
      </c>
      <c r="R10" s="3">
        <v>2</v>
      </c>
      <c r="S10" s="3">
        <v>1</v>
      </c>
      <c r="T10" s="3">
        <v>2</v>
      </c>
      <c r="U10" s="3">
        <v>5</v>
      </c>
      <c r="V10" s="3">
        <v>4</v>
      </c>
    </row>
    <row r="11" spans="1:22" x14ac:dyDescent="0.35">
      <c r="A11" s="19" t="s">
        <v>35</v>
      </c>
      <c r="B11" s="19"/>
      <c r="C11" s="19"/>
      <c r="D11" s="20"/>
      <c r="E11" s="9" t="s">
        <v>2</v>
      </c>
      <c r="F11" s="9">
        <v>0.14285714285714285</v>
      </c>
      <c r="G11" s="9">
        <v>0.5</v>
      </c>
      <c r="H11" s="10">
        <v>1</v>
      </c>
      <c r="J11" s="8" t="s">
        <v>29</v>
      </c>
      <c r="K11" s="3">
        <v>2</v>
      </c>
      <c r="L11" s="3">
        <v>3</v>
      </c>
      <c r="M11" s="3">
        <v>1</v>
      </c>
      <c r="N11" s="7">
        <v>3</v>
      </c>
      <c r="O11" s="2">
        <v>0.5</v>
      </c>
      <c r="Q11" s="8" t="s">
        <v>29</v>
      </c>
      <c r="R11" s="3">
        <v>1</v>
      </c>
      <c r="S11" s="2">
        <v>0.5</v>
      </c>
      <c r="T11" s="3">
        <v>1</v>
      </c>
      <c r="U11" s="3">
        <v>4</v>
      </c>
      <c r="V11" s="3">
        <v>3</v>
      </c>
    </row>
    <row r="12" spans="1:22" x14ac:dyDescent="0.35">
      <c r="A12" s="18"/>
      <c r="B12" s="18"/>
      <c r="C12" s="18"/>
      <c r="J12" s="8" t="s">
        <v>30</v>
      </c>
      <c r="K12" s="2">
        <v>0.5</v>
      </c>
      <c r="L12" s="3">
        <v>1</v>
      </c>
      <c r="M12" s="2">
        <v>0.33333333333333331</v>
      </c>
      <c r="N12" s="7">
        <v>1</v>
      </c>
      <c r="O12" s="2">
        <v>0.2</v>
      </c>
      <c r="Q12" s="8" t="s">
        <v>30</v>
      </c>
      <c r="R12" s="2">
        <v>0.25</v>
      </c>
      <c r="S12" s="2">
        <v>0.2</v>
      </c>
      <c r="T12" s="2">
        <v>0.25</v>
      </c>
      <c r="U12" s="3">
        <v>1</v>
      </c>
      <c r="V12" s="2">
        <v>0.5</v>
      </c>
    </row>
    <row r="13" spans="1:22" x14ac:dyDescent="0.35">
      <c r="E13" s="11" t="s">
        <v>12</v>
      </c>
      <c r="F13" s="11"/>
      <c r="J13" s="8" t="s">
        <v>31</v>
      </c>
      <c r="K13" s="3">
        <v>3</v>
      </c>
      <c r="L13" s="3">
        <v>5</v>
      </c>
      <c r="M13" s="3">
        <v>2</v>
      </c>
      <c r="N13" s="7">
        <v>5</v>
      </c>
      <c r="O13" s="3">
        <v>1</v>
      </c>
      <c r="Q13" s="8" t="s">
        <v>31</v>
      </c>
      <c r="R13" s="2">
        <v>0.33333333333333331</v>
      </c>
      <c r="S13" s="2">
        <v>0.25</v>
      </c>
      <c r="T13" s="2">
        <v>0.33333333333333331</v>
      </c>
      <c r="U13" s="3">
        <v>2</v>
      </c>
      <c r="V13" s="3">
        <v>1</v>
      </c>
    </row>
    <row r="14" spans="1:22" x14ac:dyDescent="0.35">
      <c r="E14" s="12" t="s">
        <v>3</v>
      </c>
      <c r="F14" s="14">
        <f>GEOMEAN(F9:H9)</f>
        <v>3.2710663101885897</v>
      </c>
      <c r="J14" s="8" t="s">
        <v>32</v>
      </c>
      <c r="K14" s="3">
        <v>2</v>
      </c>
      <c r="L14" s="3">
        <v>4</v>
      </c>
      <c r="M14" s="3">
        <v>1</v>
      </c>
      <c r="N14" s="7">
        <v>4</v>
      </c>
      <c r="O14" s="2">
        <v>0.5</v>
      </c>
      <c r="Q14" s="8" t="s">
        <v>32</v>
      </c>
      <c r="R14" s="2">
        <v>0.5</v>
      </c>
      <c r="S14" s="2">
        <v>0.33333333333333331</v>
      </c>
      <c r="T14" s="2">
        <v>0.5</v>
      </c>
      <c r="U14" s="3">
        <v>3</v>
      </c>
      <c r="V14" s="3">
        <v>2</v>
      </c>
    </row>
    <row r="15" spans="1:22" x14ac:dyDescent="0.35">
      <c r="E15" s="12" t="s">
        <v>4</v>
      </c>
      <c r="F15" s="14">
        <f>GEOMEAN(F10:H10)</f>
        <v>0.73680629972807732</v>
      </c>
    </row>
    <row r="16" spans="1:22" x14ac:dyDescent="0.35">
      <c r="E16" s="12" t="s">
        <v>5</v>
      </c>
      <c r="F16" s="14">
        <f>GEOMEAN(F11:H11)</f>
        <v>0.41491326668312173</v>
      </c>
    </row>
    <row r="17" spans="5:21" x14ac:dyDescent="0.35">
      <c r="E17" s="12" t="s">
        <v>6</v>
      </c>
      <c r="F17" s="21">
        <f>SUM(F13:F16)</f>
        <v>4.4227858765997894</v>
      </c>
      <c r="J17" s="11" t="s">
        <v>12</v>
      </c>
      <c r="K17" s="11"/>
      <c r="M17" s="11" t="s">
        <v>7</v>
      </c>
      <c r="N17" s="11"/>
      <c r="Q17" s="11" t="s">
        <v>12</v>
      </c>
      <c r="R17" s="11"/>
      <c r="T17" s="11" t="s">
        <v>7</v>
      </c>
      <c r="U17" s="11"/>
    </row>
    <row r="18" spans="5:21" x14ac:dyDescent="0.35">
      <c r="J18" s="4" t="s">
        <v>3</v>
      </c>
      <c r="K18" s="15">
        <f>GEOMEAN(K9:O9)</f>
        <v>0.92210791148172777</v>
      </c>
      <c r="M18" s="4" t="s">
        <v>38</v>
      </c>
      <c r="N18" s="15">
        <f>K18/K24</f>
        <v>0.13116740578184358</v>
      </c>
      <c r="Q18" s="4" t="s">
        <v>3</v>
      </c>
      <c r="R18" s="15">
        <f>GEOMEAN(R9:V9)</f>
        <v>1.4309690811052556</v>
      </c>
      <c r="T18" s="4" t="s">
        <v>38</v>
      </c>
      <c r="U18" s="15">
        <f>R18/R23</f>
        <v>1.6437518295172258</v>
      </c>
    </row>
    <row r="19" spans="5:21" x14ac:dyDescent="0.35">
      <c r="E19" s="11" t="s">
        <v>7</v>
      </c>
      <c r="F19" s="11"/>
      <c r="J19" s="4" t="s">
        <v>4</v>
      </c>
      <c r="K19" s="15">
        <f>GEOMEAN(K10:O10)</f>
        <v>0.50649568411211821</v>
      </c>
      <c r="M19" s="4" t="s">
        <v>16</v>
      </c>
      <c r="N19" s="15">
        <f>K19/K24</f>
        <v>7.2047668279878047E-2</v>
      </c>
      <c r="Q19" s="4" t="s">
        <v>4</v>
      </c>
      <c r="R19" s="15">
        <f>GEOMEAN(R10:V10)</f>
        <v>2.4022488679628626</v>
      </c>
      <c r="T19" s="4" t="s">
        <v>16</v>
      </c>
      <c r="U19" s="15">
        <f>R19/R24</f>
        <v>0.42690436190407249</v>
      </c>
    </row>
    <row r="20" spans="5:21" x14ac:dyDescent="0.35">
      <c r="E20" s="4" t="s">
        <v>8</v>
      </c>
      <c r="F20" s="15">
        <f>F14/F17</f>
        <v>0.73959409328297965</v>
      </c>
      <c r="J20" s="4" t="s">
        <v>5</v>
      </c>
      <c r="K20" s="15">
        <f>GEOMEAN(K11:O11)</f>
        <v>1.5518455739153598</v>
      </c>
      <c r="M20" s="4" t="s">
        <v>17</v>
      </c>
      <c r="N20" s="15">
        <f>K20/K24</f>
        <v>0.22074591874765351</v>
      </c>
      <c r="Q20" s="4" t="s">
        <v>5</v>
      </c>
      <c r="R20" s="15">
        <f>GEOMEAN(R11:V11)</f>
        <v>1.4309690811052556</v>
      </c>
      <c r="T20" s="4" t="s">
        <v>17</v>
      </c>
      <c r="U20" s="15">
        <f>R20/R24</f>
        <v>0.25429794165819958</v>
      </c>
    </row>
    <row r="21" spans="5:21" x14ac:dyDescent="0.35">
      <c r="E21" s="4" t="s">
        <v>9</v>
      </c>
      <c r="F21" s="15">
        <f>F15/F17</f>
        <v>0.16659325598971331</v>
      </c>
      <c r="J21" s="4" t="s">
        <v>13</v>
      </c>
      <c r="K21" s="15">
        <f>GEOMEAN(K12:O12)</f>
        <v>0.50649568411211821</v>
      </c>
      <c r="M21" s="4" t="s">
        <v>18</v>
      </c>
      <c r="N21" s="15">
        <f>K21/K24</f>
        <v>7.2047668279878047E-2</v>
      </c>
      <c r="Q21" s="4" t="s">
        <v>13</v>
      </c>
      <c r="R21" s="15">
        <f>GEOMEAN(R12:V12)</f>
        <v>0.36238983183884776</v>
      </c>
      <c r="T21" s="4" t="s">
        <v>18</v>
      </c>
      <c r="U21" s="15">
        <f>R21/R24</f>
        <v>6.4400404964236657E-2</v>
      </c>
    </row>
    <row r="22" spans="5:21" x14ac:dyDescent="0.35">
      <c r="E22" s="4" t="s">
        <v>10</v>
      </c>
      <c r="F22" s="15">
        <f>F16/F17</f>
        <v>9.3812650727306851E-2</v>
      </c>
      <c r="J22" s="4" t="s">
        <v>14</v>
      </c>
      <c r="K22" s="15">
        <f>GEOMEAN(K13:O13)</f>
        <v>2.7240699274266609</v>
      </c>
      <c r="M22" s="4" t="s">
        <v>19</v>
      </c>
      <c r="N22" s="15">
        <f>K22/K24</f>
        <v>0.38749172531741188</v>
      </c>
      <c r="Q22" s="4" t="s">
        <v>14</v>
      </c>
      <c r="R22" s="15">
        <f>GEOMEAN(R13:V13)</f>
        <v>0.56097757272309978</v>
      </c>
      <c r="T22" s="4" t="s">
        <v>19</v>
      </c>
      <c r="U22" s="15">
        <f>R22/R24</f>
        <v>9.9691491551803957E-2</v>
      </c>
    </row>
    <row r="23" spans="5:21" x14ac:dyDescent="0.35">
      <c r="J23" s="4" t="s">
        <v>15</v>
      </c>
      <c r="K23" s="15">
        <f>GEOMEAN(K14:O14)</f>
        <v>1.7411011265922482</v>
      </c>
      <c r="M23" s="4" t="s">
        <v>20</v>
      </c>
      <c r="N23" s="15">
        <f>K23/K24</f>
        <v>0.24766701937517849</v>
      </c>
      <c r="Q23" s="4" t="s">
        <v>15</v>
      </c>
      <c r="R23" s="15">
        <f>GEOMEAN(R14:V14)</f>
        <v>0.87055056329612412</v>
      </c>
      <c r="T23" s="4" t="s">
        <v>20</v>
      </c>
      <c r="U23" s="15">
        <f>R23/R24</f>
        <v>0.15470579992168743</v>
      </c>
    </row>
    <row r="24" spans="5:21" x14ac:dyDescent="0.35">
      <c r="J24" s="12" t="s">
        <v>6</v>
      </c>
      <c r="K24" s="15">
        <f>SUM(K19:K23)</f>
        <v>7.0300079961585054</v>
      </c>
      <c r="Q24" s="12" t="s">
        <v>6</v>
      </c>
      <c r="R24" s="15">
        <f>SUM(R19:R23)</f>
        <v>5.6271359169261892</v>
      </c>
    </row>
    <row r="27" spans="5:21" x14ac:dyDescent="0.35">
      <c r="E27" s="22" t="s">
        <v>40</v>
      </c>
      <c r="F27" s="22"/>
      <c r="G27" s="22"/>
      <c r="H27" s="22"/>
      <c r="I27" s="22"/>
      <c r="J27" s="22"/>
    </row>
    <row r="28" spans="5:21" x14ac:dyDescent="0.35">
      <c r="E28" s="8"/>
      <c r="F28" s="8" t="s">
        <v>28</v>
      </c>
      <c r="G28" s="8" t="s">
        <v>29</v>
      </c>
      <c r="H28" s="8" t="s">
        <v>30</v>
      </c>
      <c r="I28" s="8" t="s">
        <v>31</v>
      </c>
      <c r="J28" s="8" t="s">
        <v>32</v>
      </c>
    </row>
    <row r="29" spans="5:21" x14ac:dyDescent="0.35">
      <c r="E29" s="8" t="s">
        <v>33</v>
      </c>
      <c r="F29" s="10">
        <v>1</v>
      </c>
      <c r="G29" s="9">
        <v>0.5</v>
      </c>
      <c r="H29" s="10">
        <v>4</v>
      </c>
      <c r="I29" s="9">
        <v>0.33333333333333331</v>
      </c>
      <c r="J29" s="9">
        <v>0.5</v>
      </c>
    </row>
    <row r="30" spans="5:21" x14ac:dyDescent="0.35">
      <c r="E30" s="8" t="s">
        <v>28</v>
      </c>
      <c r="F30" s="10">
        <v>2</v>
      </c>
      <c r="G30" s="10">
        <v>1</v>
      </c>
      <c r="H30" s="10">
        <v>5</v>
      </c>
      <c r="I30" s="9">
        <v>0.5</v>
      </c>
      <c r="J30" s="10">
        <v>1</v>
      </c>
    </row>
    <row r="31" spans="5:21" x14ac:dyDescent="0.35">
      <c r="E31" s="8" t="s">
        <v>29</v>
      </c>
      <c r="F31" s="9">
        <v>0.25</v>
      </c>
      <c r="G31" s="9">
        <v>0.2</v>
      </c>
      <c r="H31" s="10">
        <v>1</v>
      </c>
      <c r="I31" s="9">
        <v>0.16666666666666666</v>
      </c>
      <c r="J31" s="9">
        <v>0.2</v>
      </c>
    </row>
    <row r="32" spans="5:21" x14ac:dyDescent="0.35">
      <c r="E32" s="8" t="s">
        <v>30</v>
      </c>
      <c r="F32" s="10">
        <v>3</v>
      </c>
      <c r="G32" s="10">
        <v>2</v>
      </c>
      <c r="H32" s="10">
        <v>6</v>
      </c>
      <c r="I32" s="10">
        <v>1</v>
      </c>
      <c r="J32" s="10">
        <v>2</v>
      </c>
    </row>
    <row r="33" spans="5:10" x14ac:dyDescent="0.35">
      <c r="E33" s="8" t="s">
        <v>31</v>
      </c>
      <c r="F33" s="10">
        <v>2</v>
      </c>
      <c r="G33" s="10">
        <v>1</v>
      </c>
      <c r="H33" s="10">
        <v>5</v>
      </c>
      <c r="I33" s="9">
        <v>0.5</v>
      </c>
      <c r="J33" s="10">
        <v>1</v>
      </c>
    </row>
    <row r="34" spans="5:10" x14ac:dyDescent="0.35">
      <c r="E34" s="8" t="s">
        <v>32</v>
      </c>
      <c r="F34" s="10">
        <v>1</v>
      </c>
      <c r="G34" s="9">
        <v>0.5</v>
      </c>
      <c r="H34" s="10">
        <v>4</v>
      </c>
      <c r="I34" s="9">
        <v>0.33333333333333331</v>
      </c>
      <c r="J34" s="9">
        <v>0.5</v>
      </c>
    </row>
    <row r="36" spans="5:10" x14ac:dyDescent="0.35">
      <c r="E36" s="11" t="s">
        <v>12</v>
      </c>
      <c r="F36" s="11"/>
      <c r="H36" s="11" t="s">
        <v>7</v>
      </c>
      <c r="I36" s="11"/>
    </row>
    <row r="37" spans="5:10" x14ac:dyDescent="0.35">
      <c r="E37" s="12" t="s">
        <v>3</v>
      </c>
      <c r="F37" s="14">
        <f>GEOMEAN(F29:J29)</f>
        <v>0.8027415617602307</v>
      </c>
      <c r="H37" s="12" t="s">
        <v>38</v>
      </c>
      <c r="I37" s="14">
        <f>F37/F43</f>
        <v>0.12962985456538806</v>
      </c>
    </row>
    <row r="38" spans="5:10" x14ac:dyDescent="0.35">
      <c r="E38" s="12" t="s">
        <v>4</v>
      </c>
      <c r="F38" s="14">
        <f>GEOMEAN(F30:J30)</f>
        <v>1.3797296614612149</v>
      </c>
      <c r="H38" s="12" t="s">
        <v>16</v>
      </c>
      <c r="I38" s="14">
        <f>F38/F43</f>
        <v>0.22280415500423659</v>
      </c>
    </row>
    <row r="39" spans="5:10" x14ac:dyDescent="0.35">
      <c r="E39" s="12" t="s">
        <v>5</v>
      </c>
      <c r="F39" s="14">
        <f>GEOMEAN(F31:J31)</f>
        <v>0.27820808696020616</v>
      </c>
      <c r="H39" s="12" t="s">
        <v>17</v>
      </c>
      <c r="I39" s="14">
        <f>F39/F43</f>
        <v>4.4926132605475171E-2</v>
      </c>
    </row>
    <row r="40" spans="5:10" x14ac:dyDescent="0.35">
      <c r="E40" s="12" t="s">
        <v>13</v>
      </c>
      <c r="F40" s="14">
        <f>GEOMEAN(F32:J32)</f>
        <v>2.3521580450493471</v>
      </c>
      <c r="H40" s="12" t="s">
        <v>18</v>
      </c>
      <c r="I40" s="14">
        <f>F40/F43</f>
        <v>0.37983570282066365</v>
      </c>
    </row>
    <row r="41" spans="5:10" x14ac:dyDescent="0.35">
      <c r="E41" s="12" t="s">
        <v>14</v>
      </c>
      <c r="F41" s="14">
        <f>GEOMEAN(F33:J33)</f>
        <v>1.3797296614612149</v>
      </c>
      <c r="H41" s="12" t="s">
        <v>19</v>
      </c>
      <c r="I41" s="14">
        <f>F41/F43</f>
        <v>0.22280415500423659</v>
      </c>
    </row>
    <row r="42" spans="5:10" x14ac:dyDescent="0.35">
      <c r="E42" s="12" t="s">
        <v>15</v>
      </c>
      <c r="F42" s="14">
        <f>GEOMEAN(F34:J34)</f>
        <v>0.8027415617602307</v>
      </c>
      <c r="H42" s="12" t="s">
        <v>20</v>
      </c>
      <c r="I42" s="14">
        <f>F42/F43</f>
        <v>0.12962985456538806</v>
      </c>
    </row>
    <row r="43" spans="5:10" x14ac:dyDescent="0.35">
      <c r="E43" s="12" t="s">
        <v>6</v>
      </c>
      <c r="F43" s="14">
        <f>SUM(F38:F42)</f>
        <v>6.1925670166922133</v>
      </c>
    </row>
    <row r="45" spans="5:10" x14ac:dyDescent="0.35">
      <c r="E45" s="11" t="s">
        <v>26</v>
      </c>
      <c r="F45" s="11"/>
    </row>
    <row r="46" spans="5:10" x14ac:dyDescent="0.35">
      <c r="E46" s="12" t="s">
        <v>41</v>
      </c>
      <c r="F46" s="14">
        <f>I37*F22+N18*F21+U18*F20</f>
        <v>1.249721669413127</v>
      </c>
    </row>
    <row r="47" spans="5:10" x14ac:dyDescent="0.35">
      <c r="E47" s="12" t="s">
        <v>21</v>
      </c>
      <c r="F47" s="14">
        <f>I38*F22+N19*F21+U19*F20</f>
        <v>0.34864044848020836</v>
      </c>
    </row>
    <row r="48" spans="5:10" x14ac:dyDescent="0.35">
      <c r="E48" s="12" t="s">
        <v>22</v>
      </c>
      <c r="F48" s="14">
        <f>I39*F22+N20*F21+U20*N20</f>
        <v>9.712465370423487E-2</v>
      </c>
    </row>
    <row r="49" spans="5:6" x14ac:dyDescent="0.35">
      <c r="E49" s="12" t="s">
        <v>23</v>
      </c>
      <c r="F49" s="14">
        <f>I40*F22+N21*F21+U21*F20</f>
        <v>9.5266208884269024E-2</v>
      </c>
    </row>
    <row r="50" spans="5:6" x14ac:dyDescent="0.35">
      <c r="E50" s="12" t="s">
        <v>24</v>
      </c>
      <c r="F50" s="14">
        <f>I41*F22+N22*F21+U22*F20</f>
        <v>0.15918659486598874</v>
      </c>
    </row>
    <row r="51" spans="5:6" x14ac:dyDescent="0.35">
      <c r="E51" s="12" t="s">
        <v>25</v>
      </c>
      <c r="F51" s="14">
        <f>I42*F22+N23*F21+U24*F20</f>
        <v>5.3420575429152725E-2</v>
      </c>
    </row>
    <row r="52" spans="5:6" x14ac:dyDescent="0.35">
      <c r="E52" s="13" t="s">
        <v>27</v>
      </c>
      <c r="F52" s="13" t="s">
        <v>11</v>
      </c>
    </row>
  </sheetData>
  <mergeCells count="15">
    <mergeCell ref="E27:J27"/>
    <mergeCell ref="E36:F36"/>
    <mergeCell ref="H36:I36"/>
    <mergeCell ref="E45:F45"/>
    <mergeCell ref="E19:F19"/>
    <mergeCell ref="J7:O7"/>
    <mergeCell ref="J17:K17"/>
    <mergeCell ref="M17:N17"/>
    <mergeCell ref="Q7:V7"/>
    <mergeCell ref="Q17:R17"/>
    <mergeCell ref="T17:U17"/>
    <mergeCell ref="A10:D10"/>
    <mergeCell ref="A9:D9"/>
    <mergeCell ref="A11:D11"/>
    <mergeCell ref="E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Анжелика Деркач</dc:creator>
  <cp:lastModifiedBy>Губаревич Настя</cp:lastModifiedBy>
  <dcterms:created xsi:type="dcterms:W3CDTF">2022-01-30T08:16:14Z</dcterms:created>
  <dcterms:modified xsi:type="dcterms:W3CDTF">2026-02-12T16:10:31Z</dcterms:modified>
</cp:coreProperties>
</file>