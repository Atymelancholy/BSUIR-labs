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tyme\OneDrive\Документы\GitHub\BSUIR-labs\6 term\СА\lab4\"/>
    </mc:Choice>
  </mc:AlternateContent>
  <xr:revisionPtr revIDLastSave="0" documentId="13_ncr:1_{925F07F6-A7A2-4B1B-B101-9C2FBE174B8A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Данные" sheetId="1" r:id="rId1"/>
    <sheet name="Экспресс" sheetId="2" r:id="rId2"/>
    <sheet name="Скаляризация" sheetId="3" r:id="rId3"/>
    <sheet name="Доминирование" sheetId="4" r:id="rId4"/>
    <sheet name="Веса" sheetId="5" r:id="rId5"/>
    <sheet name="Кемени" sheetId="6" r:id="rId6"/>
    <sheet name="ЭЛЕКТРА" sheetId="7" r:id="rId7"/>
  </sheets>
  <calcPr calcId="181029"/>
</workbook>
</file>

<file path=xl/calcChain.xml><?xml version="1.0" encoding="utf-8"?>
<calcChain xmlns="http://schemas.openxmlformats.org/spreadsheetml/2006/main">
  <c r="D8" i="5" l="1"/>
  <c r="C8" i="5"/>
  <c r="B8" i="5"/>
  <c r="D7" i="5"/>
  <c r="D9" i="5" s="1"/>
  <c r="C7" i="5"/>
  <c r="C9" i="5" s="1"/>
  <c r="B7" i="5"/>
  <c r="B9" i="5" s="1"/>
  <c r="B5" i="4"/>
  <c r="B4" i="4"/>
  <c r="B3" i="4"/>
  <c r="D5" i="3"/>
  <c r="C5" i="3"/>
  <c r="C9" i="4" s="1"/>
  <c r="C4" i="3"/>
  <c r="C8" i="4" s="1"/>
  <c r="G5" i="2"/>
  <c r="C5" i="7" s="1"/>
  <c r="F5" i="2"/>
  <c r="B5" i="7" s="1"/>
  <c r="E5" i="2"/>
  <c r="D5" i="2"/>
  <c r="D5" i="7" s="1"/>
  <c r="C5" i="2"/>
  <c r="B5" i="2"/>
  <c r="G4" i="2"/>
  <c r="C4" i="7" s="1"/>
  <c r="F4" i="2"/>
  <c r="F9" i="2" s="1"/>
  <c r="E4" i="2"/>
  <c r="D4" i="2"/>
  <c r="C4" i="2"/>
  <c r="B4" i="2"/>
  <c r="B4" i="3" s="1"/>
  <c r="G16" i="1"/>
  <c r="G6" i="2" s="1"/>
  <c r="F16" i="1"/>
  <c r="F6" i="2" s="1"/>
  <c r="E16" i="1"/>
  <c r="E6" i="2" s="1"/>
  <c r="D16" i="1"/>
  <c r="D6" i="2" s="1"/>
  <c r="D6" i="7" s="1"/>
  <c r="C16" i="1"/>
  <c r="C6" i="2" s="1"/>
  <c r="B16" i="1"/>
  <c r="B6" i="2" s="1"/>
  <c r="B6" i="3" s="1"/>
  <c r="B9" i="2" l="1"/>
  <c r="B10" i="5"/>
  <c r="B11" i="5" s="1"/>
  <c r="B10" i="4"/>
  <c r="D11" i="5"/>
  <c r="D9" i="2"/>
  <c r="E9" i="2"/>
  <c r="B17" i="7"/>
  <c r="C6" i="3"/>
  <c r="C10" i="4" s="1"/>
  <c r="C6" i="7"/>
  <c r="B8" i="4"/>
  <c r="D6" i="3"/>
  <c r="D8" i="3" s="1"/>
  <c r="D9" i="3" s="1"/>
  <c r="B6" i="7"/>
  <c r="C9" i="2"/>
  <c r="G9" i="2"/>
  <c r="D4" i="3"/>
  <c r="B8" i="3" s="1"/>
  <c r="B9" i="3" s="1"/>
  <c r="B5" i="3"/>
  <c r="B4" i="7"/>
  <c r="D4" i="7"/>
  <c r="B8" i="6" l="1"/>
  <c r="G2" i="7"/>
  <c r="G4" i="7"/>
  <c r="D8" i="6"/>
  <c r="C25" i="7"/>
  <c r="E8" i="4"/>
  <c r="F8" i="4" s="1"/>
  <c r="D8" i="4"/>
  <c r="D10" i="4"/>
  <c r="E10" i="4"/>
  <c r="F10" i="4" s="1"/>
  <c r="C18" i="7"/>
  <c r="B18" i="7"/>
  <c r="C26" i="7" s="1"/>
  <c r="D16" i="7"/>
  <c r="C16" i="7"/>
  <c r="C24" i="7" s="1"/>
  <c r="C11" i="5"/>
  <c r="C8" i="3"/>
  <c r="C9" i="3"/>
  <c r="B9" i="4"/>
  <c r="D17" i="7"/>
  <c r="E9" i="4" l="1"/>
  <c r="F9" i="4" s="1"/>
  <c r="D9" i="4"/>
  <c r="C8" i="6"/>
  <c r="E14" i="6" s="1"/>
  <c r="G3" i="7"/>
  <c r="D11" i="7" s="1"/>
  <c r="E12" i="6"/>
  <c r="F14" i="6"/>
  <c r="E23" i="6" s="1"/>
  <c r="D12" i="6"/>
  <c r="E16" i="6"/>
  <c r="C14" i="6"/>
  <c r="B16" i="6"/>
  <c r="F13" i="6"/>
  <c r="E22" i="6" s="1"/>
  <c r="E13" i="6"/>
  <c r="F15" i="6"/>
  <c r="D13" i="6"/>
  <c r="D15" i="6"/>
  <c r="B13" i="6"/>
  <c r="B10" i="3"/>
  <c r="C11" i="3" s="1"/>
  <c r="C12" i="7"/>
  <c r="B15" i="3" l="1"/>
  <c r="D15" i="3"/>
  <c r="C15" i="3"/>
  <c r="B29" i="6"/>
  <c r="B22" i="6"/>
  <c r="B36" i="6"/>
  <c r="B12" i="7"/>
  <c r="B26" i="7" s="1"/>
  <c r="D26" i="7" s="1"/>
  <c r="C30" i="6"/>
  <c r="C23" i="6"/>
  <c r="D29" i="6"/>
  <c r="D22" i="6"/>
  <c r="C10" i="7"/>
  <c r="B24" i="7" s="1"/>
  <c r="D24" i="7" s="1"/>
  <c r="D10" i="7"/>
  <c r="B24" i="6"/>
  <c r="B11" i="3"/>
  <c r="D11" i="3"/>
  <c r="C16" i="6"/>
  <c r="C24" i="6" s="1"/>
  <c r="B14" i="6"/>
  <c r="B15" i="6"/>
  <c r="D21" i="6"/>
  <c r="D28" i="6"/>
  <c r="B11" i="7"/>
  <c r="B25" i="7" s="1"/>
  <c r="D25" i="7" s="1"/>
  <c r="F12" i="6"/>
  <c r="E21" i="6" s="1"/>
  <c r="D16" i="6"/>
  <c r="D24" i="6" s="1"/>
  <c r="C12" i="6"/>
  <c r="C15" i="6"/>
  <c r="B30" i="6" l="1"/>
  <c r="B23" i="6"/>
  <c r="C35" i="6"/>
  <c r="C21" i="6"/>
  <c r="C28" i="6"/>
  <c r="B16" i="3"/>
  <c r="D16" i="3"/>
  <c r="C16" i="3"/>
  <c r="D14" i="3"/>
  <c r="D17" i="3" s="1"/>
  <c r="C14" i="3"/>
  <c r="C17" i="3" s="1"/>
  <c r="B14" i="3"/>
  <c r="B17" i="3" s="1"/>
  <c r="G16" i="6"/>
  <c r="G14" i="6"/>
  <c r="F22" i="6"/>
  <c r="G15" i="6"/>
  <c r="E29" i="6"/>
  <c r="G13" i="6"/>
  <c r="E30" i="6"/>
  <c r="F21" i="6"/>
  <c r="G12" i="6"/>
  <c r="F23" i="6"/>
  <c r="F24" i="6"/>
  <c r="E28" i="6"/>
  <c r="D36" i="6"/>
  <c r="D35" i="6"/>
</calcChain>
</file>

<file path=xl/sharedStrings.xml><?xml version="1.0" encoding="utf-8"?>
<sst xmlns="http://schemas.openxmlformats.org/spreadsheetml/2006/main" count="227" uniqueCount="104">
  <si>
    <t>ЛР4 — вариант Б.4 (проекты П1–П6)</t>
  </si>
  <si>
    <t>Критерий</t>
  </si>
  <si>
    <t>П1</t>
  </si>
  <si>
    <t>П2</t>
  </si>
  <si>
    <t>П3</t>
  </si>
  <si>
    <t>П4</t>
  </si>
  <si>
    <t>П5</t>
  </si>
  <si>
    <t>П6</t>
  </si>
  <si>
    <t>Прибыль, млн ден.ед./год</t>
  </si>
  <si>
    <t>Новые рабочие места</t>
  </si>
  <si>
    <t>Возможности развития территории (текст)</t>
  </si>
  <si>
    <t>хорошие</t>
  </si>
  <si>
    <t>средние</t>
  </si>
  <si>
    <t>средние (немного хуже, чем для П2)</t>
  </si>
  <si>
    <t>очень хорошие</t>
  </si>
  <si>
    <t>Справочник (территория → число)</t>
  </si>
  <si>
    <t>Текст</t>
  </si>
  <si>
    <t>Число</t>
  </si>
  <si>
    <t>Территория (число по VLOOKUP)</t>
  </si>
  <si>
    <t>K3</t>
  </si>
  <si>
    <t>2.1 Экспресс-анализ: безразмерные оценки Pij и Pj</t>
  </si>
  <si>
    <t>K1 прибыль</t>
  </si>
  <si>
    <t>K2 рабочие места</t>
  </si>
  <si>
    <t>K3 территория</t>
  </si>
  <si>
    <t>Pj = MIN по критериям</t>
  </si>
  <si>
    <t>Pj</t>
  </si>
  <si>
    <t>2.2 Скаляризация: П1, П6, П5</t>
  </si>
  <si>
    <t>K1</t>
  </si>
  <si>
    <t>K2</t>
  </si>
  <si>
    <t>Среднее по критерию</t>
  </si>
  <si>
    <t>Ri (разброс)</t>
  </si>
  <si>
    <t>ΣR</t>
  </si>
  <si>
    <t>Wi</t>
  </si>
  <si>
    <t>Eij = Wi / Pij</t>
  </si>
  <si>
    <t>ΣEj</t>
  </si>
  <si>
    <t>2.3 Доминирование: сравнение П1 и П6 (веса из метода предпочтений)</t>
  </si>
  <si>
    <t>V1</t>
  </si>
  <si>
    <t>V2</t>
  </si>
  <si>
    <t>V3</t>
  </si>
  <si>
    <t>Кто лучше</t>
  </si>
  <si>
    <t>Si</t>
  </si>
  <si>
    <t>Ci=Si^Vi</t>
  </si>
  <si>
    <t>D(П1→П6)</t>
  </si>
  <si>
    <t>D(П6→П1)</t>
  </si>
  <si>
    <t>D = D12/D13</t>
  </si>
  <si>
    <t>3.1 Метод предпочтений: веса критериев</t>
  </si>
  <si>
    <t>Эксперт</t>
  </si>
  <si>
    <t>1</t>
  </si>
  <si>
    <t>2</t>
  </si>
  <si>
    <t>Bij = 3 − Xij</t>
  </si>
  <si>
    <t xml:space="preserve"> </t>
  </si>
  <si>
    <t>Cj = ΣBij</t>
  </si>
  <si>
    <t>C = ΣCj</t>
  </si>
  <si>
    <t>Vj = Cj/C</t>
  </si>
  <si>
    <t>3.2 Кемени–Снелл: матрица потерь и сокращения</t>
  </si>
  <si>
    <t>Веса Vi (из листа «Веса»)</t>
  </si>
  <si>
    <t>Rjk (полная 5×5)</t>
  </si>
  <si>
    <t>j \ k</t>
  </si>
  <si>
    <t>ΣRj</t>
  </si>
  <si>
    <t>—</t>
  </si>
  <si>
    <t>Сумма строки</t>
  </si>
  <si>
    <t>Сокращения (для отчёта): 4×4, 3×3, 2×2</t>
  </si>
  <si>
    <t>После исключения П5 (4×4: П1, П2, П3, П6)</t>
  </si>
  <si>
    <t>После исключения П5 и П6 (3×3: П1, П2, П3)</t>
  </si>
  <si>
    <t>После исключения П5, П6, П3 (2×2: П1, П2)</t>
  </si>
  <si>
    <t>3.3 ЭЛЕКТРА: П5, П6, П3 (формулы)</t>
  </si>
  <si>
    <t>Cjk</t>
  </si>
  <si>
    <t>Djk</t>
  </si>
  <si>
    <t>Пороги (задаются ЛПР)</t>
  </si>
  <si>
    <t>C*</t>
  </si>
  <si>
    <t>D*</t>
  </si>
  <si>
    <t>Предельные Cj и Dj</t>
  </si>
  <si>
    <t>Cj=min строки Cjk</t>
  </si>
  <si>
    <t>Dj=max строки Djk</t>
  </si>
  <si>
    <t>В ядре?</t>
  </si>
  <si>
    <t>минимальные оценки по альтернативам</t>
  </si>
  <si>
    <t>веса</t>
  </si>
  <si>
    <t>по критерию</t>
  </si>
  <si>
    <t>Чем больше разброс, тем больше вес</t>
  </si>
  <si>
    <t>Взвешенные оценки и суммы</t>
  </si>
  <si>
    <t>По методу скаляризация предпочтителен проект П1</t>
  </si>
  <si>
    <t>Ранги критериев</t>
  </si>
  <si>
    <t>ранжируем критерии по важности. 1 самый важный</t>
  </si>
  <si>
    <t>предназначен для ранжирования альтернатив с учетом их оценок по нескольким критериям</t>
  </si>
  <si>
    <t>Матрица потерь</t>
  </si>
  <si>
    <t>Первая сокращенная матрица</t>
  </si>
  <si>
    <t>Вторая сокращенная матрица</t>
  </si>
  <si>
    <t>Третья сокращенная матрица</t>
  </si>
  <si>
    <t>От лучшей к худшей - п5, п6, п3, п1, п2</t>
  </si>
  <si>
    <t>соседние альтер сравниваются попарно, начиная с конца списка</t>
  </si>
  <si>
    <t>Безразмерные оценки</t>
  </si>
  <si>
    <t>Матрица индексов согласия</t>
  </si>
  <si>
    <t>Матрица индексов несогласия</t>
  </si>
  <si>
    <t xml:space="preserve">Первый способ - скаляризация указывает на п1, метод доминирования при весах V из метода </t>
  </si>
  <si>
    <t>предпочтения - на п6. Второй способ - выделяет п5, п6 и п3, по ЭЛЕКТРА - п5</t>
  </si>
  <si>
    <t>сумма весов критериев, где j не хуже k</t>
  </si>
  <si>
    <t>максимальная разность оценок по критерия, где j не лучше k</t>
  </si>
  <si>
    <t>те, у которых Cj &gt; C* &amp; Dj &lt; D*</t>
  </si>
  <si>
    <t>делим на max &amp; min делим на</t>
  </si>
  <si>
    <t>безразмерные оценки</t>
  </si>
  <si>
    <t xml:space="preserve">для сравниваемых алт находится обобщенная оценка по всем критериям </t>
  </si>
  <si>
    <t>по которым она превосходит другую, при этом уменьшается степень превосходства</t>
  </si>
  <si>
    <t>веса беруться из метода предпочтения</t>
  </si>
  <si>
    <t>складываем столбцы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</si>
</sst>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3"/>
      <name val="Calibri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/>
    <xf numFmtId="0" fontId="0" fillId="0" borderId="0" xfId="0"/>
    <xf numFmtId="0" fontId="1" fillId="0" borderId="0" xfId="0" applyFont="1"/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2" fontId="0" fillId="3" borderId="1" xfId="0" applyNumberFormat="1" applyFill="1" applyBorder="1" applyAlignment="1">
      <alignment horizontal="center" vertical="center" wrapText="1"/>
    </xf>
    <xf numFmtId="0" fontId="2" fillId="0" borderId="3" xfId="0" applyFont="1" applyBorder="1"/>
    <xf numFmtId="164" fontId="0" fillId="0" borderId="3" xfId="0" applyNumberFormat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0" borderId="7" xfId="0" applyFont="1" applyBorder="1"/>
    <xf numFmtId="164" fontId="0" fillId="0" borderId="8" xfId="0" applyNumberFormat="1" applyBorder="1" applyAlignment="1">
      <alignment horizontal="center" vertical="center" wrapText="1"/>
    </xf>
    <xf numFmtId="0" fontId="2" fillId="0" borderId="9" xfId="0" applyFont="1" applyBorder="1"/>
    <xf numFmtId="164" fontId="0" fillId="0" borderId="10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5" borderId="10" xfId="0" applyNumberForma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H1"/>
    </sheetView>
  </sheetViews>
  <sheetFormatPr defaultRowHeight="14.5" x14ac:dyDescent="0.35"/>
  <cols>
    <col min="1" max="1" width="18" customWidth="1"/>
    <col min="2" max="8" width="14" customWidth="1"/>
  </cols>
  <sheetData>
    <row r="1" spans="1:8" ht="18.5" x14ac:dyDescent="0.45">
      <c r="A1" s="12" t="s">
        <v>0</v>
      </c>
      <c r="B1" s="13"/>
      <c r="C1" s="13"/>
      <c r="D1" s="13"/>
      <c r="E1" s="13"/>
      <c r="F1" s="13"/>
      <c r="G1" s="13"/>
      <c r="H1" s="13"/>
    </row>
    <row r="3" spans="1:8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8" x14ac:dyDescent="0.35">
      <c r="A4" s="3" t="s">
        <v>8</v>
      </c>
      <c r="B4" s="4">
        <v>12</v>
      </c>
      <c r="C4" s="4">
        <v>10</v>
      </c>
      <c r="D4" s="4">
        <v>13</v>
      </c>
      <c r="E4" s="4">
        <v>11</v>
      </c>
      <c r="F4" s="4">
        <v>15</v>
      </c>
      <c r="G4" s="4">
        <v>14</v>
      </c>
    </row>
    <row r="5" spans="1:8" x14ac:dyDescent="0.35">
      <c r="A5" s="3" t="s">
        <v>9</v>
      </c>
      <c r="B5" s="4">
        <v>3000</v>
      </c>
      <c r="C5" s="4">
        <v>3500</v>
      </c>
      <c r="D5" s="4">
        <v>3000</v>
      </c>
      <c r="E5" s="4">
        <v>1500</v>
      </c>
      <c r="F5" s="4">
        <v>2000</v>
      </c>
      <c r="G5" s="4">
        <v>2500</v>
      </c>
    </row>
    <row r="6" spans="1:8" ht="58" x14ac:dyDescent="0.35">
      <c r="A6" s="3" t="s">
        <v>10</v>
      </c>
      <c r="B6" s="4" t="s">
        <v>11</v>
      </c>
      <c r="C6" s="4" t="s">
        <v>12</v>
      </c>
      <c r="D6" s="4" t="s">
        <v>13</v>
      </c>
      <c r="E6" s="4" t="s">
        <v>11</v>
      </c>
      <c r="F6" s="4" t="s">
        <v>14</v>
      </c>
      <c r="G6" s="4" t="s">
        <v>14</v>
      </c>
    </row>
    <row r="8" spans="1:8" x14ac:dyDescent="0.35">
      <c r="A8" s="5" t="s">
        <v>15</v>
      </c>
    </row>
    <row r="9" spans="1:8" x14ac:dyDescent="0.35">
      <c r="A9" s="1" t="s">
        <v>16</v>
      </c>
      <c r="B9" s="1" t="s">
        <v>17</v>
      </c>
    </row>
    <row r="10" spans="1:8" x14ac:dyDescent="0.35">
      <c r="A10" s="3" t="s">
        <v>14</v>
      </c>
      <c r="B10" s="6">
        <v>1</v>
      </c>
    </row>
    <row r="11" spans="1:8" x14ac:dyDescent="0.35">
      <c r="A11" s="3" t="s">
        <v>11</v>
      </c>
      <c r="B11" s="6">
        <v>0.85</v>
      </c>
    </row>
    <row r="12" spans="1:8" x14ac:dyDescent="0.35">
      <c r="A12" s="3" t="s">
        <v>12</v>
      </c>
      <c r="B12" s="6">
        <v>0.5</v>
      </c>
    </row>
    <row r="13" spans="1:8" x14ac:dyDescent="0.35">
      <c r="A13" s="3" t="s">
        <v>13</v>
      </c>
      <c r="B13" s="6">
        <v>0.45</v>
      </c>
    </row>
    <row r="15" spans="1:8" x14ac:dyDescent="0.35">
      <c r="A15" s="1" t="s">
        <v>18</v>
      </c>
      <c r="B15" s="3"/>
      <c r="C15" s="3"/>
      <c r="D15" s="3"/>
      <c r="E15" s="3"/>
      <c r="F15" s="3"/>
      <c r="G15" s="3"/>
    </row>
    <row r="16" spans="1:8" x14ac:dyDescent="0.35">
      <c r="A16" s="1" t="s">
        <v>19</v>
      </c>
      <c r="B16" s="7">
        <f t="shared" ref="B16:G16" si="0">VLOOKUP(B6,$A$10:$B$13,2,FALSE)</f>
        <v>0.85</v>
      </c>
      <c r="C16" s="7">
        <f t="shared" si="0"/>
        <v>0.5</v>
      </c>
      <c r="D16" s="7">
        <f t="shared" si="0"/>
        <v>0.45</v>
      </c>
      <c r="E16" s="7">
        <f t="shared" si="0"/>
        <v>0.85</v>
      </c>
      <c r="F16" s="7">
        <f t="shared" si="0"/>
        <v>1</v>
      </c>
      <c r="G16" s="7">
        <f t="shared" si="0"/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A12" sqref="A12:C12"/>
    </sheetView>
  </sheetViews>
  <sheetFormatPr defaultRowHeight="14.5" x14ac:dyDescent="0.35"/>
  <cols>
    <col min="1" max="1" width="18" customWidth="1"/>
    <col min="2" max="8" width="12" customWidth="1"/>
  </cols>
  <sheetData>
    <row r="1" spans="1:8" ht="17" x14ac:dyDescent="0.4">
      <c r="A1" s="14" t="s">
        <v>20</v>
      </c>
      <c r="B1" s="13"/>
      <c r="C1" s="13"/>
      <c r="D1" s="13"/>
      <c r="E1" s="13"/>
      <c r="F1" s="13"/>
      <c r="G1" s="13"/>
      <c r="H1" s="13"/>
    </row>
    <row r="3" spans="1:8" x14ac:dyDescent="0.35">
      <c r="A3" s="1" t="s">
        <v>1</v>
      </c>
      <c r="B3" s="2" t="s">
        <v>2</v>
      </c>
      <c r="C3" s="2" t="s">
        <v>3</v>
      </c>
      <c r="D3" s="2" t="s">
        <v>4</v>
      </c>
      <c r="E3" s="15" t="s">
        <v>5</v>
      </c>
      <c r="F3" s="2" t="s">
        <v>6</v>
      </c>
      <c r="G3" s="2" t="s">
        <v>7</v>
      </c>
    </row>
    <row r="4" spans="1:8" x14ac:dyDescent="0.35">
      <c r="A4" s="1" t="s">
        <v>21</v>
      </c>
      <c r="B4" s="7">
        <f>Данные!B4/MAX(Данные!$B$4:$G$4)</f>
        <v>0.8</v>
      </c>
      <c r="C4" s="7">
        <f>Данные!C4/MAX(Данные!$B$4:$G$4)</f>
        <v>0.66666666666666663</v>
      </c>
      <c r="D4" s="7">
        <f>Данные!D4/MAX(Данные!$B$4:$G$4)</f>
        <v>0.8666666666666667</v>
      </c>
      <c r="E4" s="16">
        <f>Данные!E4/MAX(Данные!$B$4:$G$4)</f>
        <v>0.73333333333333328</v>
      </c>
      <c r="F4" s="7">
        <f>Данные!F4/MAX(Данные!$B$4:$G$4)</f>
        <v>1</v>
      </c>
      <c r="G4" s="7">
        <f>Данные!G4/MAX(Данные!$B$4:$G$4)</f>
        <v>0.93333333333333335</v>
      </c>
    </row>
    <row r="5" spans="1:8" x14ac:dyDescent="0.35">
      <c r="A5" s="1" t="s">
        <v>22</v>
      </c>
      <c r="B5" s="7">
        <f>Данные!B5/MAX(Данные!$B$5:$G$5)</f>
        <v>0.8571428571428571</v>
      </c>
      <c r="C5" s="7">
        <f>Данные!C5/MAX(Данные!$B$5:$G$5)</f>
        <v>1</v>
      </c>
      <c r="D5" s="7">
        <f>Данные!D5/MAX(Данные!$B$5:$G$5)</f>
        <v>0.8571428571428571</v>
      </c>
      <c r="E5" s="16">
        <f>Данные!E5/MAX(Данные!$B$5:$G$5)</f>
        <v>0.42857142857142855</v>
      </c>
      <c r="F5" s="7">
        <f>Данные!F5/MAX(Данные!$B$5:$G$5)</f>
        <v>0.5714285714285714</v>
      </c>
      <c r="G5" s="7">
        <f>Данные!G5/MAX(Данные!$B$5:$G$5)</f>
        <v>0.7142857142857143</v>
      </c>
    </row>
    <row r="6" spans="1:8" x14ac:dyDescent="0.35">
      <c r="A6" s="1" t="s">
        <v>23</v>
      </c>
      <c r="B6" s="7">
        <f>Данные!B16/MAX(Данные!$B$16:$G$16)</f>
        <v>0.85</v>
      </c>
      <c r="C6" s="7">
        <f>Данные!C16/MAX(Данные!$B$16:$G$16)</f>
        <v>0.5</v>
      </c>
      <c r="D6" s="7">
        <f>Данные!D16/MAX(Данные!$B$16:$G$16)</f>
        <v>0.45</v>
      </c>
      <c r="E6" s="16">
        <f>Данные!E16/MAX(Данные!$B$16:$G$16)</f>
        <v>0.85</v>
      </c>
      <c r="F6" s="7">
        <f>Данные!F16/MAX(Данные!$B$16:$G$16)</f>
        <v>1</v>
      </c>
      <c r="G6" s="7">
        <f>Данные!G16/MAX(Данные!$B$16:$G$16)</f>
        <v>1</v>
      </c>
    </row>
    <row r="8" spans="1:8" x14ac:dyDescent="0.35">
      <c r="A8" s="5" t="s">
        <v>24</v>
      </c>
      <c r="C8" s="18" t="s">
        <v>75</v>
      </c>
      <c r="D8" s="18"/>
      <c r="E8" s="18"/>
      <c r="F8" s="18"/>
    </row>
    <row r="9" spans="1:8" x14ac:dyDescent="0.35">
      <c r="A9" s="1" t="s">
        <v>25</v>
      </c>
      <c r="B9" s="19">
        <f t="shared" ref="B9:G9" si="0">MIN(B4:B6)</f>
        <v>0.8</v>
      </c>
      <c r="C9" s="7">
        <f t="shared" si="0"/>
        <v>0.5</v>
      </c>
      <c r="D9" s="7">
        <f t="shared" si="0"/>
        <v>0.45</v>
      </c>
      <c r="E9" s="16">
        <f t="shared" si="0"/>
        <v>0.42857142857142855</v>
      </c>
      <c r="F9" s="19">
        <f t="shared" si="0"/>
        <v>0.5714285714285714</v>
      </c>
      <c r="G9" s="19">
        <f t="shared" si="0"/>
        <v>0.7142857142857143</v>
      </c>
    </row>
    <row r="12" spans="1:8" x14ac:dyDescent="0.35">
      <c r="A12" s="17" t="s">
        <v>98</v>
      </c>
      <c r="B12" s="17"/>
      <c r="C12" s="17"/>
    </row>
  </sheetData>
  <mergeCells count="3">
    <mergeCell ref="A1:H1"/>
    <mergeCell ref="C8:F8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F13" sqref="F13"/>
    </sheetView>
  </sheetViews>
  <sheetFormatPr defaultRowHeight="14.5" x14ac:dyDescent="0.35"/>
  <cols>
    <col min="1" max="1" width="18" customWidth="1"/>
    <col min="2" max="5" width="12" customWidth="1"/>
  </cols>
  <sheetData>
    <row r="1" spans="1:10" ht="17" x14ac:dyDescent="0.4">
      <c r="A1" s="14" t="s">
        <v>26</v>
      </c>
      <c r="B1" s="13"/>
      <c r="C1" s="13"/>
      <c r="D1" s="13"/>
      <c r="E1" s="13"/>
      <c r="F1" s="13"/>
    </row>
    <row r="3" spans="1:10" x14ac:dyDescent="0.35">
      <c r="A3" s="2" t="s">
        <v>1</v>
      </c>
      <c r="B3" s="2" t="s">
        <v>2</v>
      </c>
      <c r="C3" s="2" t="s">
        <v>7</v>
      </c>
      <c r="D3" s="2" t="s">
        <v>6</v>
      </c>
      <c r="E3" s="34" t="s">
        <v>99</v>
      </c>
      <c r="F3" s="17"/>
      <c r="G3" s="17"/>
    </row>
    <row r="4" spans="1:10" x14ac:dyDescent="0.35">
      <c r="A4" s="1" t="s">
        <v>27</v>
      </c>
      <c r="B4" s="7">
        <f>Экспресс!B4</f>
        <v>0.8</v>
      </c>
      <c r="C4" s="7">
        <f>Экспресс!G4</f>
        <v>0.93333333333333335</v>
      </c>
      <c r="D4" s="7">
        <f>Экспресс!F4</f>
        <v>1</v>
      </c>
    </row>
    <row r="5" spans="1:10" x14ac:dyDescent="0.35">
      <c r="A5" s="1" t="s">
        <v>28</v>
      </c>
      <c r="B5" s="7">
        <f>Экспресс!B5</f>
        <v>0.8571428571428571</v>
      </c>
      <c r="C5" s="7">
        <f>Экспресс!G5</f>
        <v>0.7142857142857143</v>
      </c>
      <c r="D5" s="7">
        <f>Экспресс!F5</f>
        <v>0.5714285714285714</v>
      </c>
    </row>
    <row r="6" spans="1:10" x14ac:dyDescent="0.35">
      <c r="A6" s="1" t="s">
        <v>19</v>
      </c>
      <c r="B6" s="7">
        <f>Экспресс!B6</f>
        <v>0.85</v>
      </c>
      <c r="C6" s="7">
        <f>Экспресс!G6</f>
        <v>1</v>
      </c>
      <c r="D6" s="7">
        <f>Экспресс!F6</f>
        <v>1</v>
      </c>
    </row>
    <row r="8" spans="1:10" x14ac:dyDescent="0.35">
      <c r="A8" s="1" t="s">
        <v>29</v>
      </c>
      <c r="B8" s="8">
        <f>AVERAGE(B4:D4)</f>
        <v>0.91111111111111109</v>
      </c>
      <c r="C8" s="8">
        <f>AVERAGE(B5:D5)</f>
        <v>0.7142857142857143</v>
      </c>
      <c r="D8" s="8">
        <f>AVERAGE(B6:D6)</f>
        <v>0.95000000000000007</v>
      </c>
      <c r="E8" t="s">
        <v>76</v>
      </c>
      <c r="F8" s="17" t="s">
        <v>78</v>
      </c>
      <c r="G8" s="17"/>
      <c r="H8" s="17"/>
      <c r="I8" s="17"/>
      <c r="J8" s="17"/>
    </row>
    <row r="9" spans="1:10" x14ac:dyDescent="0.35">
      <c r="A9" s="1" t="s">
        <v>30</v>
      </c>
      <c r="B9" s="8">
        <f>SUM(ABS(B4-$B$8),ABS(C4-$B$8),ABS(D4-$B$8))/(3*$B$8)</f>
        <v>8.1300813008130079E-2</v>
      </c>
      <c r="C9" s="8">
        <f>SUM(ABS(B5-$C$8),ABS(C5-$C$8),ABS(D5-$C$8))/(3*$C$8)</f>
        <v>0.13333333333333333</v>
      </c>
      <c r="D9" s="8">
        <f>SUM(ABS(B6-$D$8),ABS(C6-$D$8),ABS(D6-$D$8))/(3*$D$8)</f>
        <v>7.017543859649121E-2</v>
      </c>
      <c r="E9" t="s">
        <v>77</v>
      </c>
    </row>
    <row r="10" spans="1:10" x14ac:dyDescent="0.35">
      <c r="A10" s="1" t="s">
        <v>31</v>
      </c>
      <c r="B10" s="8">
        <f>SUM(B9:D9)</f>
        <v>0.28480958493795461</v>
      </c>
      <c r="C10" s="3"/>
      <c r="D10" s="3"/>
    </row>
    <row r="11" spans="1:10" ht="15" thickBot="1" x14ac:dyDescent="0.4">
      <c r="A11" s="20" t="s">
        <v>32</v>
      </c>
      <c r="B11" s="21">
        <f>B9/$B$10</f>
        <v>0.28545673076923078</v>
      </c>
      <c r="C11" s="21">
        <f>C9/$B$10</f>
        <v>0.46814903846153849</v>
      </c>
      <c r="D11" s="21">
        <f>D9/$B$10</f>
        <v>0.24639423076923073</v>
      </c>
    </row>
    <row r="12" spans="1:10" x14ac:dyDescent="0.35">
      <c r="A12" s="22" t="s">
        <v>79</v>
      </c>
      <c r="B12" s="23"/>
      <c r="C12" s="23"/>
      <c r="D12" s="24"/>
    </row>
    <row r="13" spans="1:10" x14ac:dyDescent="0.35">
      <c r="A13" s="25" t="s">
        <v>33</v>
      </c>
      <c r="B13" s="30" t="s">
        <v>2</v>
      </c>
      <c r="C13" s="30" t="s">
        <v>7</v>
      </c>
      <c r="D13" s="31" t="s">
        <v>6</v>
      </c>
    </row>
    <row r="14" spans="1:10" x14ac:dyDescent="0.35">
      <c r="A14" s="25" t="s">
        <v>27</v>
      </c>
      <c r="B14" s="8">
        <f>$B$11/B4</f>
        <v>0.35682091346153844</v>
      </c>
      <c r="C14" s="8">
        <f>$B$11/C4</f>
        <v>0.30584649725274726</v>
      </c>
      <c r="D14" s="26">
        <f>$B$11/D4</f>
        <v>0.28545673076923078</v>
      </c>
    </row>
    <row r="15" spans="1:10" x14ac:dyDescent="0.35">
      <c r="A15" s="25" t="s">
        <v>28</v>
      </c>
      <c r="B15" s="8">
        <f>$C$11/B5</f>
        <v>0.5461738782051283</v>
      </c>
      <c r="C15" s="8">
        <f>$C$11/C5</f>
        <v>0.65540865384615388</v>
      </c>
      <c r="D15" s="26">
        <f>$C$11/D5</f>
        <v>0.8192608173076924</v>
      </c>
    </row>
    <row r="16" spans="1:10" x14ac:dyDescent="0.35">
      <c r="A16" s="25" t="s">
        <v>19</v>
      </c>
      <c r="B16" s="8">
        <f>$D$11/B6</f>
        <v>0.2898755656108597</v>
      </c>
      <c r="C16" s="8">
        <f>$D$11/C6</f>
        <v>0.24639423076923073</v>
      </c>
      <c r="D16" s="26">
        <f>$D$11/D6</f>
        <v>0.24639423076923073</v>
      </c>
    </row>
    <row r="17" spans="1:4" ht="15" thickBot="1" x14ac:dyDescent="0.4">
      <c r="A17" s="27" t="s">
        <v>34</v>
      </c>
      <c r="B17" s="32">
        <f>SUM(B14:B16)</f>
        <v>1.1928703572775263</v>
      </c>
      <c r="C17" s="28">
        <f>SUM(C14:C16)</f>
        <v>1.2076493818681318</v>
      </c>
      <c r="D17" s="29">
        <f>SUM(D14:D16)</f>
        <v>1.3511117788461537</v>
      </c>
    </row>
    <row r="20" spans="1:4" x14ac:dyDescent="0.35">
      <c r="A20" s="17" t="s">
        <v>80</v>
      </c>
      <c r="B20" s="17"/>
      <c r="C20" s="17"/>
      <c r="D20" s="17"/>
    </row>
  </sheetData>
  <mergeCells count="5">
    <mergeCell ref="A1:F1"/>
    <mergeCell ref="F8:J8"/>
    <mergeCell ref="A12:D12"/>
    <mergeCell ref="A20:D20"/>
    <mergeCell ref="E3:G3"/>
  </mergeCells>
  <pageMargins left="0.75" right="0.75" top="1" bottom="1" header="0.5" footer="0.5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selection activeCell="A12" sqref="A12"/>
    </sheetView>
  </sheetViews>
  <sheetFormatPr defaultRowHeight="14.5" x14ac:dyDescent="0.35"/>
  <cols>
    <col min="1" max="1" width="18" customWidth="1"/>
    <col min="2" max="7" width="14" customWidth="1"/>
  </cols>
  <sheetData>
    <row r="1" spans="1:7" ht="17" x14ac:dyDescent="0.4">
      <c r="A1" s="14" t="s">
        <v>35</v>
      </c>
      <c r="B1" s="13"/>
      <c r="C1" s="13"/>
      <c r="D1" s="13"/>
      <c r="E1" s="13"/>
      <c r="F1" s="13"/>
    </row>
    <row r="3" spans="1:7" x14ac:dyDescent="0.35">
      <c r="A3" s="1" t="s">
        <v>36</v>
      </c>
      <c r="B3" s="8">
        <f>4/6</f>
        <v>0.66666666666666663</v>
      </c>
      <c r="C3" s="35" t="s">
        <v>100</v>
      </c>
      <c r="D3" s="36"/>
      <c r="E3" s="36"/>
      <c r="F3" s="36"/>
      <c r="G3" s="11"/>
    </row>
    <row r="4" spans="1:7" x14ac:dyDescent="0.35">
      <c r="A4" s="1" t="s">
        <v>37</v>
      </c>
      <c r="B4" s="8">
        <f>1/6</f>
        <v>0.16666666666666666</v>
      </c>
      <c r="C4" s="34" t="s">
        <v>101</v>
      </c>
      <c r="D4" s="17"/>
      <c r="E4" s="17"/>
      <c r="F4" s="17"/>
      <c r="G4" s="17"/>
    </row>
    <row r="5" spans="1:7" x14ac:dyDescent="0.35">
      <c r="A5" s="1" t="s">
        <v>38</v>
      </c>
      <c r="B5" s="8">
        <f>1/6</f>
        <v>0.16666666666666666</v>
      </c>
    </row>
    <row r="6" spans="1:7" x14ac:dyDescent="0.35">
      <c r="A6" s="18" t="s">
        <v>99</v>
      </c>
      <c r="B6" s="18"/>
      <c r="C6" s="18"/>
    </row>
    <row r="7" spans="1:7" x14ac:dyDescent="0.35">
      <c r="A7" s="2" t="s">
        <v>1</v>
      </c>
      <c r="B7" s="38" t="s">
        <v>2</v>
      </c>
      <c r="C7" s="38" t="s">
        <v>7</v>
      </c>
      <c r="D7" s="2" t="s">
        <v>39</v>
      </c>
      <c r="E7" s="2" t="s">
        <v>40</v>
      </c>
      <c r="F7" s="2" t="s">
        <v>41</v>
      </c>
    </row>
    <row r="8" spans="1:7" x14ac:dyDescent="0.35">
      <c r="A8" s="1" t="s">
        <v>27</v>
      </c>
      <c r="B8" s="39">
        <f>Скаляризация!B4</f>
        <v>0.8</v>
      </c>
      <c r="C8" s="39">
        <f>Скаляризация!C4</f>
        <v>0.93333333333333335</v>
      </c>
      <c r="D8" s="4" t="str">
        <f>IF(B8&gt;C8,"П1",IF(B8&lt;C8,"П6","="))</f>
        <v>П6</v>
      </c>
      <c r="E8" s="8">
        <f>MAX(B8,C8)/MIN(B8,C8)</f>
        <v>1.1666666666666665</v>
      </c>
      <c r="F8" s="8">
        <f>E8^$B$3</f>
        <v>1.1082332935251624</v>
      </c>
    </row>
    <row r="9" spans="1:7" x14ac:dyDescent="0.35">
      <c r="A9" s="1" t="s">
        <v>28</v>
      </c>
      <c r="B9" s="39">
        <f>Скаляризация!B5</f>
        <v>0.8571428571428571</v>
      </c>
      <c r="C9" s="39">
        <f>Скаляризация!C5</f>
        <v>0.7142857142857143</v>
      </c>
      <c r="D9" s="4" t="str">
        <f>IF(B9&gt;C9,"П1",IF(B9&lt;C9,"П6","="))</f>
        <v>П1</v>
      </c>
      <c r="E9" s="8">
        <f>MAX(B9,C9)/MIN(B9,C9)</f>
        <v>1.2</v>
      </c>
      <c r="F9" s="8">
        <f>E9^$B$4</f>
        <v>1.0308533208864445</v>
      </c>
    </row>
    <row r="10" spans="1:7" x14ac:dyDescent="0.35">
      <c r="A10" s="1" t="s">
        <v>19</v>
      </c>
      <c r="B10" s="39">
        <f>Скаляризация!B6</f>
        <v>0.85</v>
      </c>
      <c r="C10" s="39">
        <f>Скаляризация!C6</f>
        <v>1</v>
      </c>
      <c r="D10" s="4" t="str">
        <f>IF(B10&gt;C10,"П1",IF(B10&lt;C10,"П6","="))</f>
        <v>П6</v>
      </c>
      <c r="E10" s="8">
        <f>MAX(B10,C10)/MIN(B10,C10)</f>
        <v>1.1764705882352942</v>
      </c>
      <c r="F10" s="8">
        <f>E10^$B$5</f>
        <v>1.0274566618490537</v>
      </c>
    </row>
    <row r="12" spans="1:7" x14ac:dyDescent="0.35">
      <c r="A12" s="1" t="s">
        <v>42</v>
      </c>
      <c r="B12" s="8">
        <v>1.0309999999999999</v>
      </c>
    </row>
    <row r="13" spans="1:7" x14ac:dyDescent="0.35">
      <c r="A13" s="1" t="s">
        <v>43</v>
      </c>
      <c r="B13" s="8">
        <v>1.135</v>
      </c>
    </row>
    <row r="14" spans="1:7" x14ac:dyDescent="0.35">
      <c r="A14" s="1" t="s">
        <v>44</v>
      </c>
      <c r="B14" s="8">
        <v>0.90500000000000003</v>
      </c>
    </row>
    <row r="17" spans="1:3" x14ac:dyDescent="0.35">
      <c r="A17" s="17" t="s">
        <v>102</v>
      </c>
      <c r="B17" s="17"/>
      <c r="C17" s="17"/>
    </row>
  </sheetData>
  <mergeCells count="4">
    <mergeCell ref="A1:F1"/>
    <mergeCell ref="C4:G4"/>
    <mergeCell ref="A17:C17"/>
    <mergeCell ref="A6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selection activeCell="B9" sqref="B9"/>
    </sheetView>
  </sheetViews>
  <sheetFormatPr defaultRowHeight="14.5" x14ac:dyDescent="0.35"/>
  <cols>
    <col min="1" max="1" width="18" customWidth="1"/>
    <col min="2" max="5" width="15" customWidth="1"/>
  </cols>
  <sheetData>
    <row r="1" spans="1:8" ht="17" x14ac:dyDescent="0.4">
      <c r="A1" s="14" t="s">
        <v>45</v>
      </c>
      <c r="B1" s="13"/>
      <c r="C1" s="13"/>
      <c r="D1" s="13"/>
      <c r="E1" s="13"/>
      <c r="F1" s="13"/>
    </row>
    <row r="3" spans="1:8" ht="29" x14ac:dyDescent="0.35">
      <c r="A3" s="2" t="s">
        <v>46</v>
      </c>
      <c r="B3" s="2" t="s">
        <v>21</v>
      </c>
      <c r="C3" s="2" t="s">
        <v>22</v>
      </c>
      <c r="D3" s="2" t="s">
        <v>23</v>
      </c>
      <c r="E3" s="33" t="s">
        <v>81</v>
      </c>
    </row>
    <row r="4" spans="1:8" x14ac:dyDescent="0.35">
      <c r="A4" s="4" t="s">
        <v>47</v>
      </c>
      <c r="B4" s="4">
        <v>1</v>
      </c>
      <c r="C4" s="4">
        <v>3</v>
      </c>
      <c r="D4" s="4">
        <v>2</v>
      </c>
      <c r="E4" s="34" t="s">
        <v>82</v>
      </c>
      <c r="F4" s="17"/>
      <c r="G4" s="17"/>
      <c r="H4" s="17"/>
    </row>
    <row r="5" spans="1:8" x14ac:dyDescent="0.35">
      <c r="A5" s="4" t="s">
        <v>48</v>
      </c>
      <c r="B5" s="4">
        <v>1</v>
      </c>
      <c r="C5" s="4">
        <v>2</v>
      </c>
      <c r="D5" s="4">
        <v>3</v>
      </c>
    </row>
    <row r="7" spans="1:8" x14ac:dyDescent="0.35">
      <c r="A7" s="1" t="s">
        <v>49</v>
      </c>
      <c r="B7" s="4">
        <f t="shared" ref="B7:D8" si="0">3-B4</f>
        <v>2</v>
      </c>
      <c r="C7" s="4">
        <f t="shared" si="0"/>
        <v>0</v>
      </c>
      <c r="D7" s="4">
        <f t="shared" si="0"/>
        <v>1</v>
      </c>
    </row>
    <row r="8" spans="1:8" x14ac:dyDescent="0.35">
      <c r="A8" s="3" t="s">
        <v>50</v>
      </c>
      <c r="B8" s="4">
        <f t="shared" si="0"/>
        <v>2</v>
      </c>
      <c r="C8" s="4">
        <f t="shared" si="0"/>
        <v>1</v>
      </c>
      <c r="D8" s="4">
        <f t="shared" si="0"/>
        <v>0</v>
      </c>
    </row>
    <row r="9" spans="1:8" x14ac:dyDescent="0.35">
      <c r="A9" s="1" t="s">
        <v>51</v>
      </c>
      <c r="B9" s="40">
        <f>SUM(B7:B8)</f>
        <v>4</v>
      </c>
      <c r="C9" s="40">
        <f>SUM(C7:C8)</f>
        <v>1</v>
      </c>
      <c r="D9" s="40">
        <f>SUM(D7:D8)</f>
        <v>1</v>
      </c>
      <c r="E9" s="41" t="s">
        <v>103</v>
      </c>
      <c r="F9" s="41"/>
      <c r="G9" s="41"/>
    </row>
    <row r="10" spans="1:8" x14ac:dyDescent="0.35">
      <c r="A10" s="1" t="s">
        <v>52</v>
      </c>
      <c r="B10" s="4">
        <f>SUM(B9:D9)</f>
        <v>6</v>
      </c>
      <c r="C10" s="4"/>
      <c r="D10" s="4"/>
    </row>
    <row r="11" spans="1:8" x14ac:dyDescent="0.35">
      <c r="A11" s="1" t="s">
        <v>53</v>
      </c>
      <c r="B11" s="8">
        <f>B9/$B$10</f>
        <v>0.66666666666666663</v>
      </c>
      <c r="C11" s="8">
        <f>C9/$B$10</f>
        <v>0.16666666666666666</v>
      </c>
      <c r="D11" s="8">
        <f>D9/$B$10</f>
        <v>0.16666666666666666</v>
      </c>
    </row>
  </sheetData>
  <mergeCells count="2">
    <mergeCell ref="A1:F1"/>
    <mergeCell ref="E4:H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workbookViewId="0">
      <selection activeCell="H29" sqref="H29"/>
    </sheetView>
  </sheetViews>
  <sheetFormatPr defaultRowHeight="14.5" x14ac:dyDescent="0.35"/>
  <cols>
    <col min="1" max="1" width="18" customWidth="1"/>
    <col min="2" max="11" width="14" customWidth="1"/>
  </cols>
  <sheetData>
    <row r="1" spans="1:10" ht="17" x14ac:dyDescent="0.4">
      <c r="A1" s="14" t="s">
        <v>54</v>
      </c>
      <c r="B1" s="13"/>
      <c r="C1" s="13"/>
      <c r="D1" s="13"/>
      <c r="E1" s="13"/>
      <c r="F1" s="13"/>
      <c r="G1" s="13"/>
      <c r="H1" s="13"/>
    </row>
    <row r="3" spans="1:10" x14ac:dyDescent="0.35">
      <c r="A3" s="3" t="s">
        <v>1</v>
      </c>
      <c r="B3" s="2" t="s">
        <v>2</v>
      </c>
      <c r="C3" s="2" t="s">
        <v>3</v>
      </c>
      <c r="D3" s="2" t="s">
        <v>4</v>
      </c>
      <c r="E3" s="2" t="s">
        <v>6</v>
      </c>
      <c r="F3" s="2" t="s">
        <v>7</v>
      </c>
      <c r="G3" s="34" t="s">
        <v>83</v>
      </c>
      <c r="H3" s="37"/>
      <c r="I3" s="37"/>
      <c r="J3" s="37"/>
    </row>
    <row r="4" spans="1:10" x14ac:dyDescent="0.35">
      <c r="A4" s="1" t="s">
        <v>27</v>
      </c>
      <c r="B4" s="4">
        <v>4</v>
      </c>
      <c r="C4" s="4">
        <v>5</v>
      </c>
      <c r="D4" s="4">
        <v>3</v>
      </c>
      <c r="E4" s="4">
        <v>1</v>
      </c>
      <c r="F4" s="4">
        <v>2</v>
      </c>
      <c r="G4" s="34"/>
      <c r="H4" s="37"/>
      <c r="I4" s="37"/>
      <c r="J4" s="37"/>
    </row>
    <row r="5" spans="1:10" x14ac:dyDescent="0.35">
      <c r="A5" s="1" t="s">
        <v>28</v>
      </c>
      <c r="B5" s="4">
        <v>2</v>
      </c>
      <c r="C5" s="4">
        <v>1</v>
      </c>
      <c r="D5" s="4">
        <v>2</v>
      </c>
      <c r="E5" s="4">
        <v>5</v>
      </c>
      <c r="F5" s="4">
        <v>4</v>
      </c>
    </row>
    <row r="6" spans="1:10" x14ac:dyDescent="0.35">
      <c r="A6" s="1" t="s">
        <v>19</v>
      </c>
      <c r="B6" s="4">
        <v>3</v>
      </c>
      <c r="C6" s="4">
        <v>4</v>
      </c>
      <c r="D6" s="4">
        <v>5</v>
      </c>
      <c r="E6" s="4">
        <v>1</v>
      </c>
      <c r="F6" s="4">
        <v>1</v>
      </c>
    </row>
    <row r="8" spans="1:10" x14ac:dyDescent="0.35">
      <c r="A8" s="5" t="s">
        <v>55</v>
      </c>
      <c r="B8" s="9">
        <f>Веса!B11</f>
        <v>0.66666666666666663</v>
      </c>
      <c r="C8" s="9">
        <f>Веса!C11</f>
        <v>0.16666666666666666</v>
      </c>
      <c r="D8" s="9">
        <f>Веса!D11</f>
        <v>0.16666666666666666</v>
      </c>
    </row>
    <row r="10" spans="1:10" x14ac:dyDescent="0.35">
      <c r="A10" s="5" t="s">
        <v>56</v>
      </c>
      <c r="B10" s="18" t="s">
        <v>84</v>
      </c>
      <c r="C10" s="18"/>
      <c r="D10" s="18"/>
      <c r="E10" s="18"/>
    </row>
    <row r="11" spans="1:10" x14ac:dyDescent="0.35">
      <c r="A11" s="1" t="s">
        <v>57</v>
      </c>
      <c r="B11" s="2" t="s">
        <v>2</v>
      </c>
      <c r="C11" s="2" t="s">
        <v>3</v>
      </c>
      <c r="D11" s="2" t="s">
        <v>4</v>
      </c>
      <c r="E11" s="2" t="s">
        <v>6</v>
      </c>
      <c r="F11" s="2" t="s">
        <v>7</v>
      </c>
      <c r="G11" s="1" t="s">
        <v>58</v>
      </c>
    </row>
    <row r="12" spans="1:10" x14ac:dyDescent="0.35">
      <c r="A12" s="1" t="s">
        <v>2</v>
      </c>
      <c r="B12" s="4" t="s">
        <v>59</v>
      </c>
      <c r="C12" s="8">
        <f>$B$8*MAX(0,B$4-C$4)+$C$8*MAX(0,B$5-C$5)+$D$8*MAX(0,B$6-C$6)</f>
        <v>0.16666666666666666</v>
      </c>
      <c r="D12" s="8">
        <f>$B$8*MAX(0,B$4-D$4)+$C$8*MAX(0,B$5-D$5)+$D$8*MAX(0,B$6-D$6)</f>
        <v>0.66666666666666663</v>
      </c>
      <c r="E12" s="8">
        <f>$B$8*MAX(0,B$4-E$4)+$C$8*MAX(0,B$5-E$5)+$D$8*MAX(0,B$6-E$6)</f>
        <v>2.3333333333333335</v>
      </c>
      <c r="F12" s="8">
        <f>$B$8*MAX(0,B$4-F$4)+$C$8*MAX(0,B$5-F$5)+$D$8*MAX(0,B$6-F$6)</f>
        <v>1.6666666666666665</v>
      </c>
      <c r="G12" s="8" t="str">
        <f ca="1">SUM(B12:G12)</f>
        <v/>
      </c>
    </row>
    <row r="13" spans="1:10" x14ac:dyDescent="0.35">
      <c r="A13" s="1" t="s">
        <v>3</v>
      </c>
      <c r="B13" s="8">
        <f>$B$8*MAX(0,C$4-B$4)+$C$8*MAX(0,C$5-B$5)+$D$8*MAX(0,C$6-B$6)</f>
        <v>0.83333333333333326</v>
      </c>
      <c r="C13" s="4" t="s">
        <v>59</v>
      </c>
      <c r="D13" s="8">
        <f>$B$8*MAX(0,C$4-D$4)+$C$8*MAX(0,C$5-D$5)+$D$8*MAX(0,C$6-D$6)</f>
        <v>1.3333333333333333</v>
      </c>
      <c r="E13" s="8">
        <f>$B$8*MAX(0,C$4-E$4)+$C$8*MAX(0,C$5-E$5)+$D$8*MAX(0,C$6-E$6)</f>
        <v>3.1666666666666665</v>
      </c>
      <c r="F13" s="8">
        <f>$B$8*MAX(0,C$4-F$4)+$C$8*MAX(0,C$5-F$5)+$D$8*MAX(0,C$6-F$6)</f>
        <v>2.5</v>
      </c>
      <c r="G13" s="8" t="str">
        <f ca="1">SUM(B13:G13)</f>
        <v/>
      </c>
    </row>
    <row r="14" spans="1:10" x14ac:dyDescent="0.35">
      <c r="A14" s="1" t="s">
        <v>4</v>
      </c>
      <c r="B14" s="8">
        <f>$B$8*MAX(0,D$4-B$4)+$C$8*MAX(0,D$5-B$5)+$D$8*MAX(0,D$6-B$6)</f>
        <v>0.33333333333333331</v>
      </c>
      <c r="C14" s="8">
        <f>$B$8*MAX(0,D$4-C$4)+$C$8*MAX(0,D$5-C$5)+$D$8*MAX(0,D$6-C$6)</f>
        <v>0.33333333333333331</v>
      </c>
      <c r="D14" s="4" t="s">
        <v>59</v>
      </c>
      <c r="E14" s="8">
        <f>$B$8*MAX(0,D$4-E$4)+$C$8*MAX(0,D$5-E$5)+$D$8*MAX(0,D$6-E$6)</f>
        <v>2</v>
      </c>
      <c r="F14" s="8">
        <f>$B$8*MAX(0,D$4-F$4)+$C$8*MAX(0,D$5-F$5)+$D$8*MAX(0,D$6-F$6)</f>
        <v>1.3333333333333333</v>
      </c>
      <c r="G14" s="8" t="str">
        <f ca="1">SUM(B14:G14)</f>
        <v/>
      </c>
    </row>
    <row r="15" spans="1:10" x14ac:dyDescent="0.35">
      <c r="A15" s="1" t="s">
        <v>6</v>
      </c>
      <c r="B15" s="8">
        <f>$B$8*MAX(0,E$4-B$4)+$C$8*MAX(0,E$5-B$5)+$D$8*MAX(0,E$6-B$6)</f>
        <v>0.5</v>
      </c>
      <c r="C15" s="8">
        <f>$B$8*MAX(0,E$4-C$4)+$C$8*MAX(0,E$5-C$5)+$D$8*MAX(0,E$6-C$6)</f>
        <v>0.66666666666666663</v>
      </c>
      <c r="D15" s="8">
        <f>$B$8*MAX(0,E$4-D$4)+$C$8*MAX(0,E$5-D$5)+$D$8*MAX(0,E$6-D$6)</f>
        <v>0.5</v>
      </c>
      <c r="E15" s="4" t="s">
        <v>59</v>
      </c>
      <c r="F15" s="8">
        <f>$B$8*MAX(0,E$4-F$4)+$C$8*MAX(0,E$5-F$5)+$D$8*MAX(0,E$6-F$6)</f>
        <v>0.16666666666666666</v>
      </c>
      <c r="G15" s="8" t="str">
        <f ca="1">SUM(B15:G15)</f>
        <v/>
      </c>
    </row>
    <row r="16" spans="1:10" x14ac:dyDescent="0.35">
      <c r="A16" s="1" t="s">
        <v>7</v>
      </c>
      <c r="B16" s="8">
        <f>$B$8*MAX(0,F$4-B$4)+$C$8*MAX(0,F$5-B$5)+$D$8*MAX(0,F$6-B$6)</f>
        <v>0.33333333333333331</v>
      </c>
      <c r="C16" s="8">
        <f>$B$8*MAX(0,F$4-C$4)+$C$8*MAX(0,F$5-C$5)+$D$8*MAX(0,F$6-C$6)</f>
        <v>0.5</v>
      </c>
      <c r="D16" s="8">
        <f>$B$8*MAX(0,F$4-D$4)+$C$8*MAX(0,F$5-D$5)+$D$8*MAX(0,F$6-D$6)</f>
        <v>0.33333333333333331</v>
      </c>
      <c r="E16" s="8">
        <f>$B$8*MAX(0,F$4-E$4)+$C$8*MAX(0,F$5-E$5)+$D$8*MAX(0,F$6-E$6)</f>
        <v>0.66666666666666663</v>
      </c>
      <c r="F16" s="4" t="s">
        <v>59</v>
      </c>
      <c r="G16" s="8" t="str">
        <f ca="1">SUM(B16:G16)</f>
        <v/>
      </c>
    </row>
    <row r="17" spans="1:6" x14ac:dyDescent="0.35">
      <c r="A17" s="5" t="s">
        <v>60</v>
      </c>
    </row>
    <row r="18" spans="1:6" x14ac:dyDescent="0.35">
      <c r="A18" s="5" t="s">
        <v>61</v>
      </c>
    </row>
    <row r="19" spans="1:6" x14ac:dyDescent="0.35">
      <c r="A19" s="5" t="s">
        <v>62</v>
      </c>
      <c r="D19" s="18" t="s">
        <v>85</v>
      </c>
      <c r="E19" s="18"/>
      <c r="F19" s="18"/>
    </row>
    <row r="20" spans="1:6" x14ac:dyDescent="0.35">
      <c r="A20" s="1" t="s">
        <v>57</v>
      </c>
      <c r="B20" s="2" t="s">
        <v>2</v>
      </c>
      <c r="C20" s="2" t="s">
        <v>3</v>
      </c>
      <c r="D20" s="2" t="s">
        <v>4</v>
      </c>
      <c r="E20" s="2" t="s">
        <v>7</v>
      </c>
      <c r="F20" s="1" t="s">
        <v>58</v>
      </c>
    </row>
    <row r="21" spans="1:6" x14ac:dyDescent="0.35">
      <c r="A21" s="1" t="s">
        <v>2</v>
      </c>
      <c r="B21" s="4" t="s">
        <v>59</v>
      </c>
      <c r="C21" s="8">
        <f>C12</f>
        <v>0.16666666666666666</v>
      </c>
      <c r="D21" s="8">
        <f>D12</f>
        <v>0.66666666666666663</v>
      </c>
      <c r="E21" s="8">
        <f>F12</f>
        <v>1.6666666666666665</v>
      </c>
      <c r="F21" s="8" t="str">
        <f ca="1">SUM(B21:F21)</f>
        <v/>
      </c>
    </row>
    <row r="22" spans="1:6" x14ac:dyDescent="0.35">
      <c r="A22" s="1" t="s">
        <v>3</v>
      </c>
      <c r="B22" s="8">
        <f>B13</f>
        <v>0.83333333333333326</v>
      </c>
      <c r="C22" s="4" t="s">
        <v>59</v>
      </c>
      <c r="D22" s="8">
        <f>D13</f>
        <v>1.3333333333333333</v>
      </c>
      <c r="E22" s="8">
        <f>F13</f>
        <v>2.5</v>
      </c>
      <c r="F22" s="8" t="str">
        <f ca="1">SUM(B22:F22)</f>
        <v/>
      </c>
    </row>
    <row r="23" spans="1:6" x14ac:dyDescent="0.35">
      <c r="A23" s="1" t="s">
        <v>4</v>
      </c>
      <c r="B23" s="8">
        <f>B14</f>
        <v>0.33333333333333331</v>
      </c>
      <c r="C23" s="8">
        <f>C14</f>
        <v>0.33333333333333331</v>
      </c>
      <c r="D23" s="4" t="s">
        <v>59</v>
      </c>
      <c r="E23" s="8">
        <f>F14</f>
        <v>1.3333333333333333</v>
      </c>
      <c r="F23" s="8" t="str">
        <f ca="1">SUM(B23:F23)</f>
        <v/>
      </c>
    </row>
    <row r="24" spans="1:6" x14ac:dyDescent="0.35">
      <c r="A24" s="1" t="s">
        <v>7</v>
      </c>
      <c r="B24" s="8">
        <f>B16</f>
        <v>0.33333333333333331</v>
      </c>
      <c r="C24" s="8">
        <f>C16</f>
        <v>0.5</v>
      </c>
      <c r="D24" s="8">
        <f>D16</f>
        <v>0.33333333333333331</v>
      </c>
      <c r="E24" s="4" t="s">
        <v>59</v>
      </c>
      <c r="F24" s="8" t="str">
        <f ca="1">SUM(B24:F24)</f>
        <v/>
      </c>
    </row>
    <row r="26" spans="1:6" x14ac:dyDescent="0.35">
      <c r="A26" s="5" t="s">
        <v>63</v>
      </c>
      <c r="D26" s="17" t="s">
        <v>86</v>
      </c>
      <c r="E26" s="17"/>
      <c r="F26" s="17"/>
    </row>
    <row r="27" spans="1:6" x14ac:dyDescent="0.35">
      <c r="A27" s="1" t="s">
        <v>57</v>
      </c>
      <c r="B27" s="2" t="s">
        <v>2</v>
      </c>
      <c r="C27" s="2" t="s">
        <v>3</v>
      </c>
      <c r="D27" s="2" t="s">
        <v>4</v>
      </c>
      <c r="E27" s="1" t="s">
        <v>58</v>
      </c>
    </row>
    <row r="28" spans="1:6" x14ac:dyDescent="0.35">
      <c r="A28" s="1" t="s">
        <v>2</v>
      </c>
      <c r="B28" s="4" t="s">
        <v>59</v>
      </c>
      <c r="C28" s="8">
        <f>C12</f>
        <v>0.16666666666666666</v>
      </c>
      <c r="D28" s="8">
        <f>D12</f>
        <v>0.66666666666666663</v>
      </c>
      <c r="E28" s="8" t="str">
        <f ca="1">SUM(B28:E28)</f>
        <v/>
      </c>
    </row>
    <row r="29" spans="1:6" x14ac:dyDescent="0.35">
      <c r="A29" s="1" t="s">
        <v>3</v>
      </c>
      <c r="B29" s="8">
        <f>B13</f>
        <v>0.83333333333333326</v>
      </c>
      <c r="C29" s="4" t="s">
        <v>59</v>
      </c>
      <c r="D29" s="8">
        <f>D13</f>
        <v>1.3333333333333333</v>
      </c>
      <c r="E29" s="8" t="str">
        <f ca="1">SUM(B29:E29)</f>
        <v/>
      </c>
    </row>
    <row r="30" spans="1:6" x14ac:dyDescent="0.35">
      <c r="A30" s="1" t="s">
        <v>4</v>
      </c>
      <c r="B30" s="8">
        <f>B14</f>
        <v>0.33333333333333331</v>
      </c>
      <c r="C30" s="8">
        <f>C14</f>
        <v>0.33333333333333331</v>
      </c>
      <c r="D30" s="4" t="s">
        <v>59</v>
      </c>
      <c r="E30" s="8" t="str">
        <f ca="1">SUM(B30:E30)</f>
        <v/>
      </c>
    </row>
    <row r="33" spans="1:6" x14ac:dyDescent="0.35">
      <c r="A33" s="5" t="s">
        <v>64</v>
      </c>
      <c r="D33" s="17" t="s">
        <v>87</v>
      </c>
      <c r="E33" s="17"/>
      <c r="F33" s="17"/>
    </row>
    <row r="34" spans="1:6" x14ac:dyDescent="0.35">
      <c r="A34" s="1" t="s">
        <v>57</v>
      </c>
      <c r="B34" s="2" t="s">
        <v>2</v>
      </c>
      <c r="C34" s="2" t="s">
        <v>3</v>
      </c>
      <c r="D34" s="1" t="s">
        <v>58</v>
      </c>
    </row>
    <row r="35" spans="1:6" x14ac:dyDescent="0.35">
      <c r="A35" s="1" t="s">
        <v>2</v>
      </c>
      <c r="B35" s="4" t="s">
        <v>59</v>
      </c>
      <c r="C35" s="8">
        <f>C12</f>
        <v>0.16666666666666666</v>
      </c>
      <c r="D35" s="8" t="str">
        <f ca="1">SUM(B35:D35)</f>
        <v/>
      </c>
    </row>
    <row r="36" spans="1:6" x14ac:dyDescent="0.35">
      <c r="A36" s="1" t="s">
        <v>3</v>
      </c>
      <c r="B36" s="8">
        <f>B13</f>
        <v>0.83333333333333326</v>
      </c>
      <c r="C36" s="4" t="s">
        <v>59</v>
      </c>
      <c r="D36" s="8" t="str">
        <f ca="1">SUM(B36:D36)</f>
        <v/>
      </c>
    </row>
    <row r="38" spans="1:6" x14ac:dyDescent="0.35">
      <c r="A38" s="17" t="s">
        <v>88</v>
      </c>
      <c r="B38" s="17"/>
      <c r="C38" s="17"/>
      <c r="D38" s="17"/>
      <c r="E38" s="17"/>
    </row>
  </sheetData>
  <mergeCells count="7">
    <mergeCell ref="D26:F26"/>
    <mergeCell ref="D33:F33"/>
    <mergeCell ref="A38:E38"/>
    <mergeCell ref="A1:H1"/>
    <mergeCell ref="G3:J4"/>
    <mergeCell ref="B10:E10"/>
    <mergeCell ref="D19:F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tabSelected="1" workbookViewId="0">
      <selection activeCell="E23" sqref="E23:G23"/>
    </sheetView>
  </sheetViews>
  <sheetFormatPr defaultRowHeight="14.5" x14ac:dyDescent="0.35"/>
  <cols>
    <col min="1" max="1" width="18" customWidth="1"/>
    <col min="2" max="8" width="14" customWidth="1"/>
  </cols>
  <sheetData>
    <row r="1" spans="1:8" ht="17" x14ac:dyDescent="0.4">
      <c r="A1" s="14" t="s">
        <v>65</v>
      </c>
      <c r="B1" s="13"/>
      <c r="C1" s="13"/>
      <c r="D1" s="13"/>
      <c r="E1" s="13"/>
      <c r="F1" s="13"/>
      <c r="G1" s="13"/>
      <c r="H1" s="13"/>
    </row>
    <row r="2" spans="1:8" x14ac:dyDescent="0.35">
      <c r="B2" s="18" t="s">
        <v>90</v>
      </c>
      <c r="C2" s="18"/>
      <c r="D2" s="18"/>
      <c r="F2" s="5" t="s">
        <v>36</v>
      </c>
      <c r="G2" s="9">
        <f>Веса!B11</f>
        <v>0.66666666666666663</v>
      </c>
    </row>
    <row r="3" spans="1:8" x14ac:dyDescent="0.35">
      <c r="A3" s="2" t="s">
        <v>1</v>
      </c>
      <c r="B3" s="2" t="s">
        <v>6</v>
      </c>
      <c r="C3" s="2" t="s">
        <v>7</v>
      </c>
      <c r="D3" s="2" t="s">
        <v>4</v>
      </c>
      <c r="F3" s="5" t="s">
        <v>37</v>
      </c>
      <c r="G3" s="9">
        <f>Веса!C11</f>
        <v>0.16666666666666666</v>
      </c>
    </row>
    <row r="4" spans="1:8" x14ac:dyDescent="0.35">
      <c r="A4" s="1" t="s">
        <v>27</v>
      </c>
      <c r="B4" s="7">
        <f>Экспресс!F4</f>
        <v>1</v>
      </c>
      <c r="C4" s="7">
        <f>Экспресс!G4</f>
        <v>0.93333333333333335</v>
      </c>
      <c r="D4" s="7">
        <f>Экспресс!D4</f>
        <v>0.8666666666666667</v>
      </c>
      <c r="F4" s="5" t="s">
        <v>38</v>
      </c>
      <c r="G4" s="9">
        <f>Веса!D11</f>
        <v>0.16666666666666666</v>
      </c>
    </row>
    <row r="5" spans="1:8" x14ac:dyDescent="0.35">
      <c r="A5" s="1" t="s">
        <v>28</v>
      </c>
      <c r="B5" s="7">
        <f>Экспресс!F5</f>
        <v>0.5714285714285714</v>
      </c>
      <c r="C5" s="7">
        <f>Экспресс!G5</f>
        <v>0.7142857142857143</v>
      </c>
      <c r="D5" s="7">
        <f>Экспресс!D5</f>
        <v>0.8571428571428571</v>
      </c>
    </row>
    <row r="6" spans="1:8" x14ac:dyDescent="0.35">
      <c r="A6" s="1" t="s">
        <v>19</v>
      </c>
      <c r="B6" s="7">
        <f>Экспресс!F6</f>
        <v>1</v>
      </c>
      <c r="C6" s="7">
        <f>Экспресс!G6</f>
        <v>1</v>
      </c>
      <c r="D6" s="7">
        <f>Экспресс!D6</f>
        <v>0.45</v>
      </c>
    </row>
    <row r="8" spans="1:8" x14ac:dyDescent="0.35">
      <c r="A8" s="5" t="s">
        <v>66</v>
      </c>
      <c r="B8" s="18" t="s">
        <v>91</v>
      </c>
      <c r="C8" s="18"/>
      <c r="D8" s="18"/>
      <c r="E8" s="17" t="s">
        <v>95</v>
      </c>
      <c r="F8" s="17"/>
      <c r="G8" s="17"/>
    </row>
    <row r="9" spans="1:8" x14ac:dyDescent="0.35">
      <c r="A9" s="1" t="s">
        <v>57</v>
      </c>
      <c r="B9" s="2" t="s">
        <v>6</v>
      </c>
      <c r="C9" s="2" t="s">
        <v>7</v>
      </c>
      <c r="D9" s="2" t="s">
        <v>4</v>
      </c>
    </row>
    <row r="10" spans="1:8" x14ac:dyDescent="0.35">
      <c r="A10" s="1" t="s">
        <v>6</v>
      </c>
      <c r="B10" s="4" t="s">
        <v>59</v>
      </c>
      <c r="C10" s="8">
        <f>SUMPRODUCT((B$4:B$6&gt;=C$4:C$6)*$G$2:$G$4)</f>
        <v>0.83333333333333326</v>
      </c>
      <c r="D10" s="8">
        <f>SUMPRODUCT((B$4:B$6&gt;=D$4:D$6)*$G$2:$G$4)</f>
        <v>0.83333333333333326</v>
      </c>
    </row>
    <row r="11" spans="1:8" x14ac:dyDescent="0.35">
      <c r="A11" s="1" t="s">
        <v>7</v>
      </c>
      <c r="B11" s="8">
        <f>SUMPRODUCT((C$4:C$6&gt;=B$4:B$6)*$G$2:$G$4)</f>
        <v>0.33333333333333331</v>
      </c>
      <c r="C11" s="4" t="s">
        <v>59</v>
      </c>
      <c r="D11" s="8">
        <f>SUMPRODUCT((C$4:C$6&gt;=D$4:D$6)*$G$2:$G$4)</f>
        <v>0.83333333333333326</v>
      </c>
    </row>
    <row r="12" spans="1:8" x14ac:dyDescent="0.35">
      <c r="A12" s="1" t="s">
        <v>4</v>
      </c>
      <c r="B12" s="8">
        <f>SUMPRODUCT((D$4:D$6&gt;=B$4:B$6)*$G$2:$G$4)</f>
        <v>0.16666666666666666</v>
      </c>
      <c r="C12" s="8">
        <f>SUMPRODUCT((D$4:D$6&gt;=C$4:C$6)*$G$2:$G$4)</f>
        <v>0.16666666666666666</v>
      </c>
      <c r="D12" s="4" t="s">
        <v>59</v>
      </c>
    </row>
    <row r="14" spans="1:8" x14ac:dyDescent="0.35">
      <c r="A14" s="5" t="s">
        <v>67</v>
      </c>
      <c r="B14" s="18" t="s">
        <v>92</v>
      </c>
      <c r="C14" s="18"/>
      <c r="D14" s="18"/>
      <c r="E14" s="17" t="s">
        <v>96</v>
      </c>
      <c r="F14" s="17"/>
      <c r="G14" s="17"/>
    </row>
    <row r="15" spans="1:8" x14ac:dyDescent="0.35">
      <c r="A15" s="1" t="s">
        <v>57</v>
      </c>
      <c r="B15" s="2" t="s">
        <v>6</v>
      </c>
      <c r="C15" s="2" t="s">
        <v>7</v>
      </c>
      <c r="D15" s="2" t="s">
        <v>4</v>
      </c>
    </row>
    <row r="16" spans="1:8" x14ac:dyDescent="0.35">
      <c r="A16" s="1" t="s">
        <v>6</v>
      </c>
      <c r="B16" s="4" t="s">
        <v>59</v>
      </c>
      <c r="C16" s="8">
        <f>MAX(IF(B$4&lt;C$4,C$4-B$4,0),IF(B$5&lt;C$5,C$5-B$5,0),IF(B$6&lt;C$6,C$6-B$6,0))</f>
        <v>0.1428571428571429</v>
      </c>
      <c r="D16" s="8">
        <f>MAX(IF(B$4&lt;D$4,D$4-B$4,0),IF(B$5&lt;D$5,D$5-B$5,0),IF(B$6&lt;D$6,D$6-B$6,0))</f>
        <v>0.2857142857142857</v>
      </c>
    </row>
    <row r="17" spans="1:7" x14ac:dyDescent="0.35">
      <c r="A17" s="1" t="s">
        <v>7</v>
      </c>
      <c r="B17" s="8">
        <f>MAX(IF(C$4&lt;B$4,B$4-C$4,0),IF(C$5&lt;B$5,B$5-C$5,0),IF(C$6&lt;B$6,B$6-C$6,0))</f>
        <v>6.6666666666666652E-2</v>
      </c>
      <c r="C17" s="4" t="s">
        <v>59</v>
      </c>
      <c r="D17" s="8">
        <f>MAX(IF(C$4&lt;D$4,D$4-C$4,0),IF(C$5&lt;D$5,D$5-C$5,0),IF(C$6&lt;D$6,D$6-C$6,0))</f>
        <v>0.14285714285714279</v>
      </c>
    </row>
    <row r="18" spans="1:7" x14ac:dyDescent="0.35">
      <c r="A18" s="1" t="s">
        <v>4</v>
      </c>
      <c r="B18" s="8">
        <f>MAX(IF(D$4&lt;B$4,B$4-D$4,0),IF(D$5&lt;B$5,B$5-D$5,0),IF(D$6&lt;B$6,B$6-D$6,0))</f>
        <v>0.55000000000000004</v>
      </c>
      <c r="C18" s="8">
        <f>MAX(IF(D$4&lt;C$4,C$4-D$4,0),IF(D$5&lt;C$5,C$5-D$5,0),IF(D$6&lt;C$6,C$6-D$6,0))</f>
        <v>0.55000000000000004</v>
      </c>
      <c r="D18" s="4" t="s">
        <v>59</v>
      </c>
    </row>
    <row r="20" spans="1:7" x14ac:dyDescent="0.35">
      <c r="A20" s="1" t="s">
        <v>68</v>
      </c>
      <c r="B20" s="1" t="s">
        <v>69</v>
      </c>
      <c r="C20" s="1" t="s">
        <v>70</v>
      </c>
    </row>
    <row r="21" spans="1:7" x14ac:dyDescent="0.35">
      <c r="A21" s="3"/>
      <c r="B21" s="6">
        <v>0.45</v>
      </c>
      <c r="C21" s="6">
        <v>0.35</v>
      </c>
    </row>
    <row r="23" spans="1:7" x14ac:dyDescent="0.35">
      <c r="A23" s="1" t="s">
        <v>71</v>
      </c>
      <c r="B23" s="1" t="s">
        <v>72</v>
      </c>
      <c r="C23" s="1" t="s">
        <v>73</v>
      </c>
      <c r="D23" s="1" t="s">
        <v>74</v>
      </c>
      <c r="E23" s="34" t="s">
        <v>97</v>
      </c>
      <c r="F23" s="17"/>
      <c r="G23" s="17"/>
    </row>
    <row r="24" spans="1:7" x14ac:dyDescent="0.35">
      <c r="A24" s="1" t="s">
        <v>6</v>
      </c>
      <c r="B24" s="10">
        <f>MIN(C10,D10)</f>
        <v>0.83333333333333326</v>
      </c>
      <c r="C24" s="10">
        <f>MAX(C16,D16)</f>
        <v>0.2857142857142857</v>
      </c>
      <c r="D24" s="4" t="str">
        <f>IF(AND(B24&gt;$B$21,C24&lt;$C$21),"да","нет")</f>
        <v>да</v>
      </c>
      <c r="E24" s="34"/>
      <c r="F24" s="17"/>
      <c r="G24" s="17"/>
    </row>
    <row r="25" spans="1:7" x14ac:dyDescent="0.35">
      <c r="A25" s="1" t="s">
        <v>7</v>
      </c>
      <c r="B25" s="10">
        <f>MIN(B11,D11)</f>
        <v>0.33333333333333331</v>
      </c>
      <c r="C25" s="10">
        <f>MAX(B17,D17)</f>
        <v>0.14285714285714279</v>
      </c>
      <c r="D25" s="4" t="str">
        <f>IF(AND(B25&gt;$B$21,C25&lt;$C$21),"да","нет")</f>
        <v>нет</v>
      </c>
    </row>
    <row r="26" spans="1:7" x14ac:dyDescent="0.35">
      <c r="A26" s="1" t="s">
        <v>4</v>
      </c>
      <c r="B26" s="10">
        <f>MIN(B12,C12)</f>
        <v>0.16666666666666666</v>
      </c>
      <c r="C26" s="10">
        <f>MAX(B18,C18)</f>
        <v>0.55000000000000004</v>
      </c>
      <c r="D26" s="4" t="str">
        <f>IF(AND(B26&gt;$B$21,C26&lt;$C$21),"да","нет")</f>
        <v>нет</v>
      </c>
    </row>
    <row r="30" spans="1:7" x14ac:dyDescent="0.35">
      <c r="A30" s="17" t="s">
        <v>89</v>
      </c>
      <c r="B30" s="17"/>
      <c r="C30" s="17"/>
      <c r="D30" s="17"/>
      <c r="E30" s="17"/>
      <c r="F30" s="17"/>
    </row>
    <row r="32" spans="1:7" x14ac:dyDescent="0.35">
      <c r="A32" s="17" t="s">
        <v>93</v>
      </c>
      <c r="B32" s="17"/>
      <c r="C32" s="17"/>
      <c r="D32" s="17"/>
      <c r="E32" s="17"/>
      <c r="F32" s="17"/>
    </row>
    <row r="33" spans="1:6" x14ac:dyDescent="0.35">
      <c r="A33" s="17" t="s">
        <v>94</v>
      </c>
      <c r="B33" s="17"/>
      <c r="C33" s="17"/>
      <c r="D33" s="17"/>
      <c r="E33" s="17"/>
      <c r="F33" s="17"/>
    </row>
  </sheetData>
  <mergeCells count="11">
    <mergeCell ref="A32:F32"/>
    <mergeCell ref="A33:F33"/>
    <mergeCell ref="E8:G8"/>
    <mergeCell ref="E14:G14"/>
    <mergeCell ref="A1:H1"/>
    <mergeCell ref="A30:F30"/>
    <mergeCell ref="B2:D2"/>
    <mergeCell ref="B8:D8"/>
    <mergeCell ref="B14:D14"/>
    <mergeCell ref="E23:G23"/>
    <mergeCell ref="E24:G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Данные</vt:lpstr>
      <vt:lpstr>Экспресс</vt:lpstr>
      <vt:lpstr>Скаляризация</vt:lpstr>
      <vt:lpstr>Доминирование</vt:lpstr>
      <vt:lpstr>Веса</vt:lpstr>
      <vt:lpstr>Кемени</vt:lpstr>
      <vt:lpstr>ЭЛЕКТРА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Губаревич Настя</cp:lastModifiedBy>
  <dcterms:created xsi:type="dcterms:W3CDTF">2026-04-08T11:59:16Z</dcterms:created>
  <dcterms:modified xsi:type="dcterms:W3CDTF">2026-04-08T15:17:07Z</dcterms:modified>
</cp:coreProperties>
</file>