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yme\OneDrive\Документы\GitHub\BSUIR-labs\6 term\СА\lab3\"/>
    </mc:Choice>
  </mc:AlternateContent>
  <xr:revisionPtr revIDLastSave="0" documentId="13_ncr:1_{DF80B577-3AD7-49AB-9356-7938DCB69C9A}" xr6:coauthVersionLast="47" xr6:coauthVersionMax="47" xr10:uidLastSave="{00000000-0000-0000-0000-000000000000}"/>
  <bookViews>
    <workbookView xWindow="170" yWindow="190" windowWidth="13080" windowHeight="15280" xr2:uid="{00000000-000D-0000-FFFF-FFFF00000000}"/>
  </bookViews>
  <sheets>
    <sheet name="Лист1" sheetId="1" r:id="rId1"/>
  </sheets>
  <definedNames>
    <definedName name="Сумм">Лист1!$AC$27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61" i="1" l="1"/>
  <c r="AL59" i="1"/>
  <c r="AL53" i="1"/>
  <c r="AL51" i="1"/>
  <c r="AI62" i="1"/>
  <c r="AI61" i="1"/>
  <c r="AI60" i="1"/>
  <c r="AI54" i="1"/>
  <c r="AI53" i="1"/>
  <c r="AI52" i="1"/>
  <c r="AF61" i="1"/>
  <c r="AF59" i="1"/>
  <c r="AC62" i="1"/>
  <c r="AC61" i="1"/>
  <c r="AC60" i="1"/>
  <c r="AF53" i="1"/>
  <c r="AF51" i="1"/>
  <c r="AC54" i="1"/>
  <c r="AC53" i="1"/>
  <c r="AC52" i="1"/>
  <c r="AL44" i="1"/>
  <c r="AL42" i="1"/>
  <c r="AL36" i="1"/>
  <c r="AL34" i="1"/>
  <c r="AI45" i="1"/>
  <c r="AI44" i="1"/>
  <c r="AI43" i="1"/>
  <c r="AI37" i="1"/>
  <c r="AI36" i="1"/>
  <c r="AI35" i="1"/>
  <c r="AF44" i="1"/>
  <c r="AF42" i="1"/>
  <c r="AC45" i="1"/>
  <c r="AC44" i="1"/>
  <c r="AC43" i="1"/>
  <c r="AF34" i="1"/>
  <c r="AC37" i="1"/>
  <c r="AC36" i="1"/>
  <c r="AC35" i="1"/>
  <c r="AF25" i="1"/>
  <c r="AC26" i="1"/>
  <c r="AL27" i="1"/>
  <c r="AL25" i="1"/>
  <c r="AI28" i="1"/>
  <c r="AI27" i="1"/>
  <c r="AI26" i="1"/>
  <c r="AL17" i="1"/>
  <c r="AL19" i="1"/>
  <c r="AI20" i="1"/>
  <c r="AI19" i="1"/>
  <c r="AI18" i="1"/>
  <c r="AC28" i="1"/>
  <c r="AC27" i="1"/>
  <c r="AC20" i="1"/>
  <c r="AC19" i="1"/>
  <c r="AC18" i="1"/>
  <c r="AD7" i="1"/>
  <c r="AD6" i="1"/>
  <c r="AD5" i="1"/>
  <c r="AD4" i="1"/>
  <c r="AF27" i="1" l="1"/>
  <c r="S63" i="1" l="1"/>
  <c r="S64" i="1"/>
  <c r="S62" i="1"/>
  <c r="N63" i="1"/>
  <c r="N64" i="1"/>
  <c r="N62" i="1"/>
  <c r="I63" i="1"/>
  <c r="I64" i="1"/>
  <c r="I62" i="1"/>
  <c r="D63" i="1"/>
  <c r="D64" i="1"/>
  <c r="D62" i="1"/>
  <c r="S42" i="1"/>
  <c r="S43" i="1"/>
  <c r="S41" i="1"/>
  <c r="S44" i="1" s="1"/>
  <c r="N43" i="1"/>
  <c r="N42" i="1"/>
  <c r="N41" i="1"/>
  <c r="I43" i="1"/>
  <c r="I41" i="1"/>
  <c r="I42" i="1"/>
  <c r="D43" i="1"/>
  <c r="D41" i="1"/>
  <c r="D42" i="1"/>
  <c r="S22" i="1"/>
  <c r="S21" i="1"/>
  <c r="S20" i="1"/>
  <c r="N22" i="1"/>
  <c r="N21" i="1"/>
  <c r="N20" i="1"/>
  <c r="N23" i="1" s="1"/>
  <c r="I22" i="1"/>
  <c r="I21" i="1"/>
  <c r="I20" i="1"/>
  <c r="D22" i="1"/>
  <c r="D21" i="1"/>
  <c r="D20" i="1"/>
  <c r="I65" i="1" l="1"/>
  <c r="N65" i="1"/>
  <c r="N69" i="1"/>
  <c r="S65" i="1"/>
  <c r="S68" i="1" s="1"/>
  <c r="S69" i="1"/>
  <c r="S48" i="1"/>
  <c r="N44" i="1"/>
  <c r="N47" i="1" s="1"/>
  <c r="S23" i="1"/>
  <c r="S27" i="1" s="1"/>
  <c r="I26" i="1"/>
  <c r="N27" i="1"/>
  <c r="N70" i="1"/>
  <c r="D49" i="1"/>
  <c r="I70" i="1"/>
  <c r="I69" i="1"/>
  <c r="I68" i="1"/>
  <c r="I28" i="1"/>
  <c r="I27" i="1"/>
  <c r="N28" i="1"/>
  <c r="S49" i="1"/>
  <c r="S70" i="1"/>
  <c r="D23" i="1"/>
  <c r="S47" i="1"/>
  <c r="N68" i="1"/>
  <c r="I23" i="1"/>
  <c r="D44" i="1"/>
  <c r="D48" i="1" s="1"/>
  <c r="N26" i="1"/>
  <c r="D65" i="1"/>
  <c r="D69" i="1" s="1"/>
  <c r="I44" i="1"/>
  <c r="I47" i="1" s="1"/>
  <c r="S26" i="1" l="1"/>
  <c r="N49" i="1"/>
  <c r="N48" i="1"/>
  <c r="S28" i="1"/>
  <c r="D70" i="1"/>
  <c r="I49" i="1"/>
  <c r="I48" i="1"/>
  <c r="D26" i="1"/>
  <c r="AF17" i="1" s="1"/>
  <c r="AF19" i="1" s="1"/>
  <c r="D27" i="1"/>
  <c r="D47" i="1"/>
  <c r="D28" i="1"/>
  <c r="D68" i="1"/>
  <c r="N7" i="1" l="1"/>
  <c r="N6" i="1"/>
  <c r="N5" i="1"/>
  <c r="N4" i="1"/>
  <c r="N8" i="1" l="1"/>
  <c r="Q4" i="1" s="1"/>
  <c r="Q7" i="1" l="1"/>
  <c r="Q6" i="1"/>
  <c r="Q5" i="1"/>
  <c r="V67" i="1" s="1"/>
  <c r="K79" i="1" s="1"/>
  <c r="AG4" i="1" l="1"/>
  <c r="AG9" i="1" s="1"/>
  <c r="V23" i="1"/>
  <c r="E77" i="1" s="1"/>
  <c r="V65" i="1"/>
  <c r="K77" i="1" s="1"/>
  <c r="V24" i="1"/>
  <c r="E78" i="1" s="1"/>
  <c r="V44" i="1"/>
  <c r="H77" i="1" s="1"/>
  <c r="V45" i="1"/>
  <c r="H78" i="1" s="1"/>
  <c r="V46" i="1"/>
  <c r="H79" i="1" s="1"/>
  <c r="V25" i="1"/>
  <c r="E79" i="1" s="1"/>
  <c r="P78" i="1" s="1"/>
  <c r="V66" i="1"/>
  <c r="K78" i="1" s="1"/>
  <c r="P77" i="1" l="1"/>
  <c r="P76" i="1"/>
</calcChain>
</file>

<file path=xl/sharedStrings.xml><?xml version="1.0" encoding="utf-8"?>
<sst xmlns="http://schemas.openxmlformats.org/spreadsheetml/2006/main" count="380" uniqueCount="70">
  <si>
    <t>стоимость линии</t>
  </si>
  <si>
    <t>производительность</t>
  </si>
  <si>
    <t>время непрерывной работы</t>
  </si>
  <si>
    <t>себестоимость пластмассы</t>
  </si>
  <si>
    <t>K1</t>
  </si>
  <si>
    <t>K2</t>
  </si>
  <si>
    <t>K3</t>
  </si>
  <si>
    <t>K4</t>
  </si>
  <si>
    <t>Сумма:</t>
  </si>
  <si>
    <t>C1</t>
  </si>
  <si>
    <t>C2</t>
  </si>
  <si>
    <t>C3</t>
  </si>
  <si>
    <t>C4</t>
  </si>
  <si>
    <t>Ср. геом. cтрок</t>
  </si>
  <si>
    <t>L1</t>
  </si>
  <si>
    <t>L2</t>
  </si>
  <si>
    <t>L3</t>
  </si>
  <si>
    <t>L4</t>
  </si>
  <si>
    <t>Локал. приоритеты</t>
  </si>
  <si>
    <t>Л1</t>
  </si>
  <si>
    <t>Л2</t>
  </si>
  <si>
    <t>Л3</t>
  </si>
  <si>
    <t>Глобал. приоритеты</t>
  </si>
  <si>
    <t>G2</t>
  </si>
  <si>
    <t>G3</t>
  </si>
  <si>
    <t>Наил-й:</t>
  </si>
  <si>
    <t>G1</t>
  </si>
  <si>
    <t>Линии</t>
  </si>
  <si>
    <t>Внешние условия (спрос)</t>
  </si>
  <si>
    <t>для бытовых изделий</t>
  </si>
  <si>
    <t>техническая обычная</t>
  </si>
  <si>
    <t>техническая упрочненная</t>
  </si>
  <si>
    <t>общая оценка</t>
  </si>
  <si>
    <t>E1</t>
  </si>
  <si>
    <t>E2</t>
  </si>
  <si>
    <t>E3</t>
  </si>
  <si>
    <t xml:space="preserve">K1 </t>
  </si>
  <si>
    <t xml:space="preserve">K2 </t>
  </si>
  <si>
    <t xml:space="preserve">K4 </t>
  </si>
  <si>
    <t xml:space="preserve">K3 </t>
  </si>
  <si>
    <t>Исходные данные</t>
  </si>
  <si>
    <t>Матрица парных сравнений критериев</t>
  </si>
  <si>
    <t>Сравнение для бытовых изделий</t>
  </si>
  <si>
    <t>Сравнение для обычной технической пластмассы</t>
  </si>
  <si>
    <t>"производительность"</t>
  </si>
  <si>
    <t>"себестоимость пластмассы"</t>
  </si>
  <si>
    <t>"время непрерывной работы"</t>
  </si>
  <si>
    <t>"стоимость линии"</t>
  </si>
  <si>
    <t>Сравнение для технической упрочненной</t>
  </si>
  <si>
    <t>технической 
пластмассы. Определяются локальные приоритеты критериев. Локальные 
приоритеты критериев неизменны, так как их важность не зависит от 
контекста. Следовательно, они аналогичны приоритетам для бытовых 
изделий:</t>
  </si>
  <si>
    <t>вычисляем локальные приоритеты для каждого критерия</t>
  </si>
  <si>
    <t>критерий Байеса, максимирующий ожидаемый (средний выигрыш)</t>
  </si>
  <si>
    <t xml:space="preserve">Так как 
важность критериев не зависит от внешних условий, локальные приоритеты 
критериев будут такими же, как и найденные выше (для условий низкого спроса): </t>
  </si>
  <si>
    <t xml:space="preserve"> В данном случае известны вероятности 
внешних условий</t>
  </si>
  <si>
    <t>Лапласа, Вальда, Гурвица</t>
  </si>
  <si>
    <t>Сумма столбцов</t>
  </si>
  <si>
    <t>λ</t>
  </si>
  <si>
    <t>Параметр</t>
  </si>
  <si>
    <t>СлС</t>
  </si>
  <si>
    <t>0.9</t>
  </si>
  <si>
    <t>Ос</t>
  </si>
  <si>
    <t>Ис</t>
  </si>
  <si>
    <t>0.021</t>
  </si>
  <si>
    <t>Производительность</t>
  </si>
  <si>
    <t>0.58</t>
  </si>
  <si>
    <t>0.093</t>
  </si>
  <si>
    <t>Себестоимость пластмассы</t>
  </si>
  <si>
    <t>Стоимость линии</t>
  </si>
  <si>
    <t>Время непрерывной работы</t>
  </si>
  <si>
    <t>Время непрервыной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</si>
</sst>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F0F4"/>
        <bgColor indexed="64"/>
      </patternFill>
    </fill>
    <fill>
      <patternFill patternType="solid">
        <fgColor rgb="FFF6F7DD"/>
        <bgColor indexed="64"/>
      </patternFill>
    </fill>
    <fill>
      <patternFill patternType="solid">
        <fgColor rgb="FFE3DCFC"/>
        <bgColor indexed="64"/>
      </patternFill>
    </fill>
    <fill>
      <patternFill patternType="solid">
        <fgColor rgb="FFE9F6E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12" fontId="0" fillId="3" borderId="1" xfId="0" applyNumberFormat="1" applyFill="1" applyBorder="1" applyAlignment="1"/>
    <xf numFmtId="164" fontId="0" fillId="3" borderId="1" xfId="0" applyNumberFormat="1" applyFill="1" applyBorder="1" applyAlignment="1">
      <alignment horizontal="center"/>
    </xf>
    <xf numFmtId="12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Border="1"/>
    <xf numFmtId="0" fontId="2" fillId="4" borderId="0" xfId="0" applyFont="1" applyFill="1" applyBorder="1" applyAlignment="1">
      <alignment horizontal="center"/>
    </xf>
    <xf numFmtId="9" fontId="2" fillId="4" borderId="0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2" fontId="3" fillId="4" borderId="1" xfId="0" applyNumberFormat="1" applyFont="1" applyFill="1" applyBorder="1" applyAlignment="1"/>
    <xf numFmtId="12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5" borderId="0" xfId="0" applyFill="1"/>
    <xf numFmtId="0" fontId="1" fillId="5" borderId="0" xfId="0" applyFont="1" applyFill="1" applyBorder="1" applyAlignment="1"/>
    <xf numFmtId="9" fontId="1" fillId="5" borderId="0" xfId="0" applyNumberFormat="1" applyFont="1" applyFill="1" applyBorder="1" applyAlignment="1">
      <alignment horizontal="center"/>
    </xf>
    <xf numFmtId="0" fontId="0" fillId="5" borderId="0" xfId="0" applyFill="1" applyBorder="1"/>
    <xf numFmtId="0" fontId="0" fillId="5" borderId="1" xfId="0" applyFill="1" applyBorder="1" applyAlignment="1">
      <alignment horizontal="center"/>
    </xf>
    <xf numFmtId="12" fontId="0" fillId="5" borderId="1" xfId="0" applyNumberFormat="1" applyFill="1" applyBorder="1" applyAlignment="1"/>
    <xf numFmtId="12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6" borderId="0" xfId="0" applyFill="1" applyBorder="1"/>
    <xf numFmtId="9" fontId="1" fillId="6" borderId="0" xfId="0" applyNumberFormat="1" applyFont="1" applyFill="1" applyBorder="1" applyAlignment="1">
      <alignment horizontal="center"/>
    </xf>
    <xf numFmtId="0" fontId="0" fillId="6" borderId="0" xfId="0" applyFill="1"/>
    <xf numFmtId="0" fontId="0" fillId="6" borderId="1" xfId="0" applyFill="1" applyBorder="1" applyAlignment="1">
      <alignment horizontal="center"/>
    </xf>
    <xf numFmtId="12" fontId="0" fillId="6" borderId="1" xfId="0" applyNumberFormat="1" applyFill="1" applyBorder="1" applyAlignment="1"/>
    <xf numFmtId="12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3" borderId="10" xfId="0" applyNumberFormat="1" applyFill="1" applyBorder="1"/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2" fontId="0" fillId="5" borderId="19" xfId="0" applyNumberForma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ont="1" applyFill="1" applyBorder="1" applyAlignment="1">
      <alignment horizontal="center"/>
    </xf>
    <xf numFmtId="0" fontId="0" fillId="5" borderId="24" xfId="0" applyFont="1" applyFill="1" applyBorder="1" applyAlignment="1">
      <alignment horizontal="center"/>
    </xf>
    <xf numFmtId="0" fontId="0" fillId="5" borderId="2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2" fontId="0" fillId="4" borderId="19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0" fillId="4" borderId="16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64" fontId="0" fillId="4" borderId="17" xfId="0" applyNumberFormat="1" applyFill="1" applyBorder="1" applyAlignment="1">
      <alignment horizontal="center"/>
    </xf>
    <xf numFmtId="0" fontId="0" fillId="4" borderId="18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164" fontId="0" fillId="4" borderId="19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4" fontId="0" fillId="5" borderId="20" xfId="0" applyNumberFormat="1" applyFill="1" applyBorder="1" applyAlignment="1">
      <alignment horizontal="center"/>
    </xf>
    <xf numFmtId="164" fontId="0" fillId="5" borderId="21" xfId="0" applyNumberFormat="1" applyFill="1" applyBorder="1" applyAlignment="1">
      <alignment horizontal="center"/>
    </xf>
    <xf numFmtId="164" fontId="0" fillId="5" borderId="22" xfId="0" applyNumberForma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0" fillId="6" borderId="23" xfId="0" applyFon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2" fontId="0" fillId="6" borderId="17" xfId="0" applyNumberFormat="1" applyFill="1" applyBorder="1" applyAlignment="1">
      <alignment horizontal="center"/>
    </xf>
    <xf numFmtId="0" fontId="0" fillId="6" borderId="24" xfId="0" applyFont="1" applyFill="1" applyBorder="1" applyAlignment="1">
      <alignment horizontal="center"/>
    </xf>
    <xf numFmtId="164" fontId="0" fillId="6" borderId="21" xfId="0" applyNumberForma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2" fontId="0" fillId="6" borderId="19" xfId="0" applyNumberFormat="1" applyFill="1" applyBorder="1" applyAlignment="1">
      <alignment horizontal="center"/>
    </xf>
    <xf numFmtId="0" fontId="0" fillId="6" borderId="25" xfId="0" applyFont="1" applyFill="1" applyBorder="1" applyAlignment="1">
      <alignment horizontal="center"/>
    </xf>
    <xf numFmtId="164" fontId="0" fillId="6" borderId="22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9F6E6"/>
      <color rgb="FFE3DCFC"/>
      <color rgb="FFF6F7DD"/>
      <color rgb="FFD8F0F4"/>
      <color rgb="FFEAECAC"/>
      <color rgb="FFCCCCFF"/>
      <color rgb="FFE5E5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95"/>
  <sheetViews>
    <sheetView tabSelected="1" topLeftCell="W28" zoomScale="76" zoomScaleNormal="100" workbookViewId="0">
      <selection activeCell="AB32" sqref="AB32:AF32"/>
    </sheetView>
  </sheetViews>
  <sheetFormatPr defaultRowHeight="14.5" x14ac:dyDescent="0.35"/>
  <cols>
    <col min="33" max="33" width="10.1796875" bestFit="1" customWidth="1"/>
  </cols>
  <sheetData>
    <row r="2" spans="2:38" ht="14.5" customHeight="1" thickBot="1" x14ac:dyDescent="0.4">
      <c r="B2" s="58" t="s">
        <v>40</v>
      </c>
      <c r="C2" s="58"/>
      <c r="D2" s="58"/>
      <c r="E2" s="58"/>
      <c r="F2" s="7"/>
      <c r="G2" s="56" t="s">
        <v>41</v>
      </c>
      <c r="H2" s="56"/>
      <c r="I2" s="56"/>
      <c r="J2" s="56"/>
      <c r="K2" s="56"/>
      <c r="L2" s="7"/>
      <c r="M2" s="7"/>
      <c r="N2" s="7"/>
      <c r="O2" s="7"/>
      <c r="P2" s="7"/>
      <c r="Q2" s="7"/>
      <c r="S2" s="39" t="s">
        <v>49</v>
      </c>
      <c r="T2" s="39"/>
      <c r="U2" s="39"/>
      <c r="V2" s="39"/>
      <c r="W2" s="39"/>
      <c r="X2" s="39"/>
      <c r="Y2" s="39"/>
      <c r="Z2" s="39"/>
      <c r="AC2" s="7"/>
      <c r="AD2" s="7"/>
      <c r="AE2" s="7"/>
      <c r="AF2" s="7"/>
      <c r="AG2" s="7"/>
    </row>
    <row r="3" spans="2:38" ht="15" thickBot="1" x14ac:dyDescent="0.4">
      <c r="B3" s="8" t="s">
        <v>36</v>
      </c>
      <c r="C3" s="61" t="s">
        <v>1</v>
      </c>
      <c r="D3" s="61"/>
      <c r="E3" s="61"/>
      <c r="F3" s="7"/>
      <c r="G3" s="9"/>
      <c r="H3" s="9" t="s">
        <v>4</v>
      </c>
      <c r="I3" s="9" t="s">
        <v>5</v>
      </c>
      <c r="J3" s="9" t="s">
        <v>6</v>
      </c>
      <c r="K3" s="9" t="s">
        <v>7</v>
      </c>
      <c r="L3" s="7"/>
      <c r="M3" s="57" t="s">
        <v>13</v>
      </c>
      <c r="N3" s="57"/>
      <c r="O3" s="7"/>
      <c r="P3" s="59" t="s">
        <v>18</v>
      </c>
      <c r="Q3" s="60"/>
      <c r="S3" s="39"/>
      <c r="T3" s="39"/>
      <c r="U3" s="39"/>
      <c r="V3" s="39"/>
      <c r="W3" s="39"/>
      <c r="X3" s="39"/>
      <c r="Y3" s="39"/>
      <c r="Z3" s="39"/>
      <c r="AC3" s="94" t="s">
        <v>55</v>
      </c>
      <c r="AD3" s="95"/>
      <c r="AE3" s="7"/>
      <c r="AF3" s="62" t="s">
        <v>57</v>
      </c>
      <c r="AG3" s="63"/>
    </row>
    <row r="4" spans="2:38" ht="15" thickBot="1" x14ac:dyDescent="0.4">
      <c r="B4" s="8" t="s">
        <v>37</v>
      </c>
      <c r="C4" s="61" t="s">
        <v>3</v>
      </c>
      <c r="D4" s="61"/>
      <c r="E4" s="61"/>
      <c r="F4" s="7"/>
      <c r="G4" s="9" t="s">
        <v>4</v>
      </c>
      <c r="H4" s="10">
        <v>1</v>
      </c>
      <c r="I4" s="10">
        <v>3</v>
      </c>
      <c r="J4" s="10">
        <v>5</v>
      </c>
      <c r="K4" s="10">
        <v>5</v>
      </c>
      <c r="L4" s="7"/>
      <c r="M4" s="9" t="s">
        <v>9</v>
      </c>
      <c r="N4" s="11">
        <f>GEOMEAN(H4:K4)</f>
        <v>2.942830956382712</v>
      </c>
      <c r="O4" s="7"/>
      <c r="P4" s="9" t="s">
        <v>14</v>
      </c>
      <c r="Q4" s="11">
        <f>N4/N8</f>
        <v>0.55786461793954656</v>
      </c>
      <c r="S4" s="39"/>
      <c r="T4" s="39"/>
      <c r="U4" s="39"/>
      <c r="V4" s="39"/>
      <c r="W4" s="39"/>
      <c r="X4" s="39"/>
      <c r="Y4" s="39"/>
      <c r="Z4" s="39"/>
      <c r="AC4" s="100" t="s">
        <v>4</v>
      </c>
      <c r="AD4" s="101">
        <f>SUM(H4:H7)</f>
        <v>1.7333333333333332</v>
      </c>
      <c r="AE4" s="7"/>
      <c r="AF4" s="64" t="s">
        <v>56</v>
      </c>
      <c r="AG4" s="65">
        <f>Q4*AD4+Q5*AD5+Q6*AD6+Q7*AD7</f>
        <v>4.0577344032146563</v>
      </c>
    </row>
    <row r="5" spans="2:38" x14ac:dyDescent="0.35">
      <c r="B5" s="8" t="s">
        <v>39</v>
      </c>
      <c r="C5" s="61" t="s">
        <v>2</v>
      </c>
      <c r="D5" s="61"/>
      <c r="E5" s="61"/>
      <c r="F5" s="7"/>
      <c r="G5" s="9" t="s">
        <v>5</v>
      </c>
      <c r="H5" s="12">
        <v>0.33333333333333331</v>
      </c>
      <c r="I5" s="10">
        <v>1</v>
      </c>
      <c r="J5" s="10">
        <v>3</v>
      </c>
      <c r="K5" s="10">
        <v>3</v>
      </c>
      <c r="L5" s="7"/>
      <c r="M5" s="9" t="s">
        <v>10</v>
      </c>
      <c r="N5" s="11">
        <f>GEOMEAN(H5:K5)</f>
        <v>1.3160740129524926</v>
      </c>
      <c r="O5" s="7"/>
      <c r="P5" s="9" t="s">
        <v>15</v>
      </c>
      <c r="Q5" s="11">
        <f>N5/N8</f>
        <v>0.24948464159095499</v>
      </c>
      <c r="S5" s="39"/>
      <c r="T5" s="39"/>
      <c r="U5" s="39"/>
      <c r="V5" s="39"/>
      <c r="W5" s="39"/>
      <c r="X5" s="39"/>
      <c r="Y5" s="39"/>
      <c r="Z5" s="39"/>
      <c r="AC5" s="100" t="s">
        <v>5</v>
      </c>
      <c r="AD5" s="101">
        <f>SUM(I4:I7)</f>
        <v>4.6666666666666661</v>
      </c>
      <c r="AE5" s="7"/>
      <c r="AF5" s="7"/>
      <c r="AG5" s="7"/>
    </row>
    <row r="6" spans="2:38" x14ac:dyDescent="0.35">
      <c r="B6" s="8" t="s">
        <v>38</v>
      </c>
      <c r="C6" s="61" t="s">
        <v>0</v>
      </c>
      <c r="D6" s="61"/>
      <c r="E6" s="61"/>
      <c r="F6" s="7"/>
      <c r="G6" s="9" t="s">
        <v>6</v>
      </c>
      <c r="H6" s="12">
        <v>0.2</v>
      </c>
      <c r="I6" s="12">
        <v>0.33333333333333331</v>
      </c>
      <c r="J6" s="10">
        <v>1</v>
      </c>
      <c r="K6" s="10">
        <v>1</v>
      </c>
      <c r="L6" s="7"/>
      <c r="M6" s="9" t="s">
        <v>11</v>
      </c>
      <c r="N6" s="11">
        <f>GEOMEAN(H6:K6)</f>
        <v>0.50813274815461473</v>
      </c>
      <c r="O6" s="7"/>
      <c r="P6" s="9" t="s">
        <v>16</v>
      </c>
      <c r="Q6" s="11">
        <f>N6/N8</f>
        <v>9.6325370234749269E-2</v>
      </c>
      <c r="S6" s="39"/>
      <c r="T6" s="39"/>
      <c r="U6" s="39"/>
      <c r="V6" s="39"/>
      <c r="W6" s="39"/>
      <c r="X6" s="39"/>
      <c r="Y6" s="39"/>
      <c r="Z6" s="39"/>
      <c r="AC6" s="100" t="s">
        <v>6</v>
      </c>
      <c r="AD6" s="101">
        <f>SUM(J4:J7)</f>
        <v>10</v>
      </c>
      <c r="AE6" s="7"/>
      <c r="AF6" s="7"/>
      <c r="AG6" s="7"/>
    </row>
    <row r="7" spans="2:38" ht="15" thickBot="1" x14ac:dyDescent="0.4">
      <c r="B7" s="7"/>
      <c r="C7" s="7"/>
      <c r="D7" s="7"/>
      <c r="E7" s="7"/>
      <c r="F7" s="7"/>
      <c r="G7" s="9" t="s">
        <v>7</v>
      </c>
      <c r="H7" s="12">
        <v>0.2</v>
      </c>
      <c r="I7" s="12">
        <v>0.33333333333333331</v>
      </c>
      <c r="J7" s="10">
        <v>1</v>
      </c>
      <c r="K7" s="10">
        <v>1</v>
      </c>
      <c r="L7" s="7"/>
      <c r="M7" s="9" t="s">
        <v>12</v>
      </c>
      <c r="N7" s="11">
        <f>GEOMEAN(H7:K7)</f>
        <v>0.50813274815461473</v>
      </c>
      <c r="O7" s="7"/>
      <c r="P7" s="9" t="s">
        <v>17</v>
      </c>
      <c r="Q7" s="11">
        <f>N7/N8</f>
        <v>9.6325370234749269E-2</v>
      </c>
      <c r="S7" s="39"/>
      <c r="T7" s="39"/>
      <c r="U7" s="39"/>
      <c r="V7" s="39"/>
      <c r="W7" s="39"/>
      <c r="X7" s="39"/>
      <c r="Y7" s="39"/>
      <c r="Z7" s="39"/>
      <c r="AC7" s="102" t="s">
        <v>7</v>
      </c>
      <c r="AD7" s="103">
        <f>SUM(K4:K7)</f>
        <v>10</v>
      </c>
      <c r="AE7" s="7"/>
      <c r="AF7" s="7"/>
      <c r="AG7" s="7"/>
    </row>
    <row r="8" spans="2:38" ht="15" thickBot="1" x14ac:dyDescent="0.4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13" t="s">
        <v>8</v>
      </c>
      <c r="N8" s="11">
        <f>SUM(N4:N7)</f>
        <v>5.2751704656444334</v>
      </c>
      <c r="O8" s="7"/>
      <c r="P8" s="7"/>
      <c r="Q8" s="7"/>
      <c r="S8" s="39"/>
      <c r="T8" s="39"/>
      <c r="U8" s="39"/>
      <c r="V8" s="39"/>
      <c r="W8" s="39"/>
      <c r="X8" s="39"/>
      <c r="Y8" s="39"/>
      <c r="Z8" s="39"/>
      <c r="AC8" s="7"/>
      <c r="AD8" s="7"/>
      <c r="AE8" s="7"/>
      <c r="AF8" s="7"/>
      <c r="AG8" s="7"/>
    </row>
    <row r="9" spans="2:38" ht="15" thickBot="1" x14ac:dyDescent="0.4">
      <c r="S9" s="39"/>
      <c r="T9" s="39"/>
      <c r="U9" s="39"/>
      <c r="V9" s="39"/>
      <c r="W9" s="39"/>
      <c r="X9" s="39"/>
      <c r="Y9" s="39"/>
      <c r="Z9" s="39"/>
      <c r="AC9" s="66" t="s">
        <v>58</v>
      </c>
      <c r="AD9" s="67" t="s">
        <v>59</v>
      </c>
      <c r="AE9" s="7"/>
      <c r="AF9" s="66" t="s">
        <v>61</v>
      </c>
      <c r="AG9" s="68">
        <f>(AG4-4)/3</f>
        <v>1.9244801071552093E-2</v>
      </c>
    </row>
    <row r="10" spans="2:38" ht="15" thickBot="1" x14ac:dyDescent="0.4">
      <c r="B10" s="37" t="s">
        <v>50</v>
      </c>
      <c r="C10" s="37"/>
      <c r="D10" s="37"/>
      <c r="E10" s="37"/>
      <c r="F10" s="3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AC10" s="7"/>
      <c r="AD10" s="7"/>
      <c r="AE10" s="7"/>
      <c r="AF10" s="7"/>
      <c r="AG10" s="7"/>
    </row>
    <row r="11" spans="2:38" ht="15" thickBot="1" x14ac:dyDescent="0.4">
      <c r="B11" s="14"/>
      <c r="C11" s="15"/>
      <c r="D11" s="16" t="s">
        <v>42</v>
      </c>
      <c r="E11" s="16"/>
      <c r="F11" s="16"/>
      <c r="G11" s="17">
        <v>0.3</v>
      </c>
      <c r="H11" s="14"/>
      <c r="I11" s="14"/>
      <c r="J11" s="14"/>
      <c r="K11" s="14"/>
      <c r="L11" s="14"/>
      <c r="M11" s="15"/>
      <c r="N11" s="15"/>
      <c r="O11" s="15"/>
      <c r="P11" s="14"/>
      <c r="Q11" s="14"/>
      <c r="R11" s="14"/>
      <c r="S11" s="14"/>
      <c r="T11" s="14"/>
      <c r="U11" s="15"/>
      <c r="V11" s="15"/>
      <c r="W11" s="15"/>
      <c r="X11" s="39" t="s">
        <v>52</v>
      </c>
      <c r="Y11" s="38"/>
      <c r="Z11" s="38"/>
      <c r="AC11" s="66" t="s">
        <v>60</v>
      </c>
      <c r="AD11" s="69" t="s">
        <v>62</v>
      </c>
      <c r="AE11" s="7"/>
      <c r="AF11" s="7"/>
      <c r="AG11" s="7"/>
    </row>
    <row r="12" spans="2:38" x14ac:dyDescent="0.3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38"/>
      <c r="Y12" s="38"/>
      <c r="Z12" s="38"/>
    </row>
    <row r="13" spans="2:38" x14ac:dyDescent="0.35">
      <c r="B13" s="15"/>
      <c r="C13" s="55" t="s">
        <v>44</v>
      </c>
      <c r="D13" s="55"/>
      <c r="E13" s="55"/>
      <c r="F13" s="55"/>
      <c r="G13" s="15"/>
      <c r="H13" s="55" t="s">
        <v>45</v>
      </c>
      <c r="I13" s="55"/>
      <c r="J13" s="55"/>
      <c r="K13" s="55"/>
      <c r="L13" s="15"/>
      <c r="M13" s="55" t="s">
        <v>46</v>
      </c>
      <c r="N13" s="55"/>
      <c r="O13" s="55"/>
      <c r="P13" s="55"/>
      <c r="Q13" s="15"/>
      <c r="R13" s="55" t="s">
        <v>47</v>
      </c>
      <c r="S13" s="55"/>
      <c r="T13" s="55"/>
      <c r="U13" s="55"/>
      <c r="V13" s="15"/>
      <c r="W13" s="15"/>
      <c r="X13" s="38"/>
      <c r="Y13" s="38"/>
      <c r="Z13" s="38"/>
    </row>
    <row r="14" spans="2:38" ht="15" thickBot="1" x14ac:dyDescent="0.4">
      <c r="B14" s="15"/>
      <c r="C14" s="18"/>
      <c r="D14" s="18" t="s">
        <v>19</v>
      </c>
      <c r="E14" s="18" t="s">
        <v>20</v>
      </c>
      <c r="F14" s="18" t="s">
        <v>21</v>
      </c>
      <c r="G14" s="15"/>
      <c r="H14" s="18"/>
      <c r="I14" s="18" t="s">
        <v>19</v>
      </c>
      <c r="J14" s="18" t="s">
        <v>20</v>
      </c>
      <c r="K14" s="18" t="s">
        <v>21</v>
      </c>
      <c r="L14" s="15"/>
      <c r="M14" s="18"/>
      <c r="N14" s="18" t="s">
        <v>19</v>
      </c>
      <c r="O14" s="18" t="s">
        <v>20</v>
      </c>
      <c r="P14" s="18" t="s">
        <v>21</v>
      </c>
      <c r="Q14" s="15"/>
      <c r="R14" s="18"/>
      <c r="S14" s="18" t="s">
        <v>19</v>
      </c>
      <c r="T14" s="18" t="s">
        <v>20</v>
      </c>
      <c r="U14" s="18" t="s">
        <v>21</v>
      </c>
      <c r="V14" s="15"/>
      <c r="W14" s="15"/>
      <c r="X14" s="38"/>
      <c r="Y14" s="38"/>
      <c r="Z14" s="38"/>
    </row>
    <row r="15" spans="2:38" ht="15" thickBot="1" x14ac:dyDescent="0.4">
      <c r="B15" s="15"/>
      <c r="C15" s="18" t="s">
        <v>19</v>
      </c>
      <c r="D15" s="19">
        <v>1</v>
      </c>
      <c r="E15" s="19">
        <v>6</v>
      </c>
      <c r="F15" s="20">
        <v>0.25</v>
      </c>
      <c r="G15" s="15"/>
      <c r="H15" s="18" t="s">
        <v>19</v>
      </c>
      <c r="I15" s="19">
        <v>1</v>
      </c>
      <c r="J15" s="19">
        <v>1</v>
      </c>
      <c r="K15" s="19">
        <v>5</v>
      </c>
      <c r="L15" s="15"/>
      <c r="M15" s="18" t="s">
        <v>19</v>
      </c>
      <c r="N15" s="19">
        <v>1</v>
      </c>
      <c r="O15" s="19">
        <v>5</v>
      </c>
      <c r="P15" s="19">
        <v>1</v>
      </c>
      <c r="Q15" s="15"/>
      <c r="R15" s="18" t="s">
        <v>19</v>
      </c>
      <c r="S15" s="19">
        <v>1</v>
      </c>
      <c r="T15" s="19">
        <v>3</v>
      </c>
      <c r="U15" s="20">
        <v>0.2</v>
      </c>
      <c r="V15" s="15"/>
      <c r="W15" s="15"/>
      <c r="X15" s="38"/>
      <c r="Y15" s="38"/>
      <c r="Z15" s="38"/>
      <c r="AB15" s="70" t="s">
        <v>63</v>
      </c>
      <c r="AC15" s="71"/>
      <c r="AD15" s="71"/>
      <c r="AE15" s="71"/>
      <c r="AF15" s="72"/>
      <c r="AG15" s="73"/>
      <c r="AH15" s="70" t="s">
        <v>68</v>
      </c>
      <c r="AI15" s="71"/>
      <c r="AJ15" s="71"/>
      <c r="AK15" s="71"/>
      <c r="AL15" s="72"/>
    </row>
    <row r="16" spans="2:38" ht="15" thickBot="1" x14ac:dyDescent="0.4">
      <c r="B16" s="15"/>
      <c r="C16" s="18" t="s">
        <v>20</v>
      </c>
      <c r="D16" s="20">
        <v>0.16666666666666666</v>
      </c>
      <c r="E16" s="19">
        <v>1</v>
      </c>
      <c r="F16" s="20">
        <v>0.1111111111111111</v>
      </c>
      <c r="G16" s="15"/>
      <c r="H16" s="18" t="s">
        <v>20</v>
      </c>
      <c r="I16" s="19">
        <v>1</v>
      </c>
      <c r="J16" s="19">
        <v>1</v>
      </c>
      <c r="K16" s="19">
        <v>5</v>
      </c>
      <c r="L16" s="15"/>
      <c r="M16" s="18" t="s">
        <v>20</v>
      </c>
      <c r="N16" s="20">
        <v>0.2</v>
      </c>
      <c r="O16" s="19">
        <v>1</v>
      </c>
      <c r="P16" s="20">
        <v>0.2</v>
      </c>
      <c r="Q16" s="15"/>
      <c r="R16" s="18" t="s">
        <v>20</v>
      </c>
      <c r="S16" s="20">
        <v>0.33333333333333331</v>
      </c>
      <c r="T16" s="19">
        <v>1</v>
      </c>
      <c r="U16" s="20">
        <v>0.14285714285714285</v>
      </c>
      <c r="V16" s="15"/>
      <c r="W16" s="15"/>
      <c r="X16" s="38"/>
      <c r="Y16" s="38"/>
      <c r="Z16" s="38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</row>
    <row r="17" spans="1:38" x14ac:dyDescent="0.35">
      <c r="B17" s="15"/>
      <c r="C17" s="18" t="s">
        <v>21</v>
      </c>
      <c r="D17" s="19">
        <v>4</v>
      </c>
      <c r="E17" s="19">
        <v>9</v>
      </c>
      <c r="F17" s="19">
        <v>1</v>
      </c>
      <c r="G17" s="15"/>
      <c r="H17" s="18" t="s">
        <v>21</v>
      </c>
      <c r="I17" s="20">
        <v>0.2</v>
      </c>
      <c r="J17" s="20">
        <v>0.2</v>
      </c>
      <c r="K17" s="19">
        <v>1</v>
      </c>
      <c r="L17" s="15"/>
      <c r="M17" s="18" t="s">
        <v>21</v>
      </c>
      <c r="N17" s="19">
        <v>1</v>
      </c>
      <c r="O17" s="19">
        <v>5</v>
      </c>
      <c r="P17" s="19">
        <v>1</v>
      </c>
      <c r="Q17" s="15"/>
      <c r="R17" s="18" t="s">
        <v>21</v>
      </c>
      <c r="S17" s="19">
        <v>5</v>
      </c>
      <c r="T17" s="19">
        <v>7</v>
      </c>
      <c r="U17" s="19">
        <v>1</v>
      </c>
      <c r="V17" s="15"/>
      <c r="W17" s="15"/>
      <c r="X17" s="38"/>
      <c r="Y17" s="38"/>
      <c r="Z17" s="38"/>
      <c r="AB17" s="92" t="s">
        <v>55</v>
      </c>
      <c r="AC17" s="93"/>
      <c r="AD17" s="73"/>
      <c r="AE17" s="104" t="s">
        <v>56</v>
      </c>
      <c r="AF17" s="105">
        <f>D26*AC18+D27*AC19+D28*AC20</f>
        <v>3.1078473338549744</v>
      </c>
      <c r="AG17" s="73"/>
      <c r="AH17" s="92" t="s">
        <v>55</v>
      </c>
      <c r="AI17" s="93"/>
      <c r="AJ17" s="73"/>
      <c r="AK17" s="104" t="s">
        <v>56</v>
      </c>
      <c r="AL17" s="112">
        <f>N26*AI18+N27*AI19+N28*AI20+0.1</f>
        <v>3.1</v>
      </c>
    </row>
    <row r="18" spans="1:38" x14ac:dyDescent="0.3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38"/>
      <c r="Y18" s="38"/>
      <c r="Z18" s="38"/>
      <c r="AB18" s="96" t="s">
        <v>4</v>
      </c>
      <c r="AC18" s="97">
        <f>SUM(D15:D17)</f>
        <v>5.166666666666667</v>
      </c>
      <c r="AD18" s="73"/>
      <c r="AE18" s="106" t="s">
        <v>58</v>
      </c>
      <c r="AF18" s="107" t="s">
        <v>64</v>
      </c>
      <c r="AG18" s="73"/>
      <c r="AH18" s="96" t="s">
        <v>4</v>
      </c>
      <c r="AI18" s="97">
        <f>SUM(I15:I17)</f>
        <v>2.2000000000000002</v>
      </c>
      <c r="AJ18" s="73"/>
      <c r="AK18" s="106" t="s">
        <v>58</v>
      </c>
      <c r="AL18" s="107" t="s">
        <v>64</v>
      </c>
    </row>
    <row r="19" spans="1:38" x14ac:dyDescent="0.35">
      <c r="B19" s="15"/>
      <c r="C19" s="47" t="s">
        <v>13</v>
      </c>
      <c r="D19" s="47"/>
      <c r="E19" s="15"/>
      <c r="F19" s="15"/>
      <c r="G19" s="15"/>
      <c r="H19" s="47" t="s">
        <v>13</v>
      </c>
      <c r="I19" s="47"/>
      <c r="J19" s="15"/>
      <c r="K19" s="15"/>
      <c r="L19" s="15"/>
      <c r="M19" s="47" t="s">
        <v>13</v>
      </c>
      <c r="N19" s="47"/>
      <c r="O19" s="15"/>
      <c r="P19" s="15"/>
      <c r="Q19" s="15"/>
      <c r="R19" s="47" t="s">
        <v>13</v>
      </c>
      <c r="S19" s="47"/>
      <c r="T19" s="15"/>
      <c r="U19" s="15"/>
      <c r="V19" s="15"/>
      <c r="W19" s="15"/>
      <c r="X19" s="38"/>
      <c r="Y19" s="38"/>
      <c r="Z19" s="38"/>
      <c r="AB19" s="96" t="s">
        <v>5</v>
      </c>
      <c r="AC19" s="97">
        <f>SUM(E15:E17)</f>
        <v>16</v>
      </c>
      <c r="AD19" s="73"/>
      <c r="AE19" s="106" t="s">
        <v>61</v>
      </c>
      <c r="AF19" s="108">
        <f>(AF17-3)/2</f>
        <v>5.3923666927487179E-2</v>
      </c>
      <c r="AG19" s="73"/>
      <c r="AH19" s="96" t="s">
        <v>5</v>
      </c>
      <c r="AI19" s="97">
        <f>SUM(O15:O17)</f>
        <v>11</v>
      </c>
      <c r="AJ19" s="73"/>
      <c r="AK19" s="106" t="s">
        <v>61</v>
      </c>
      <c r="AL19" s="107">
        <f>(AL17-3)/2</f>
        <v>5.0000000000000044E-2</v>
      </c>
    </row>
    <row r="20" spans="1:38" ht="15" thickBot="1" x14ac:dyDescent="0.4">
      <c r="B20" s="15"/>
      <c r="C20" s="18" t="s">
        <v>9</v>
      </c>
      <c r="D20" s="21">
        <f>GEOMEAN(D15:F15)</f>
        <v>1.1447142425533319</v>
      </c>
      <c r="E20" s="15"/>
      <c r="F20" s="15"/>
      <c r="G20" s="15"/>
      <c r="H20" s="18" t="s">
        <v>9</v>
      </c>
      <c r="I20" s="21">
        <f>GEOMEAN(I15:K15)</f>
        <v>1.7099759466766968</v>
      </c>
      <c r="J20" s="15"/>
      <c r="K20" s="15"/>
      <c r="L20" s="15"/>
      <c r="M20" s="18" t="s">
        <v>9</v>
      </c>
      <c r="N20" s="21">
        <f>GEOMEAN(N15:P15)</f>
        <v>1.7099759466766968</v>
      </c>
      <c r="O20" s="15"/>
      <c r="P20" s="15"/>
      <c r="Q20" s="15"/>
      <c r="R20" s="18" t="s">
        <v>9</v>
      </c>
      <c r="S20" s="21">
        <f>GEOMEAN(S15:U15)</f>
        <v>0.84343266530174932</v>
      </c>
      <c r="T20" s="15"/>
      <c r="U20" s="15"/>
      <c r="V20" s="15"/>
      <c r="W20" s="15"/>
      <c r="X20" s="38"/>
      <c r="Y20" s="38"/>
      <c r="Z20" s="38"/>
      <c r="AB20" s="98" t="s">
        <v>6</v>
      </c>
      <c r="AC20" s="99">
        <f>SUM(F15:F17)</f>
        <v>1.3611111111111112</v>
      </c>
      <c r="AD20" s="73"/>
      <c r="AE20" s="109" t="s">
        <v>60</v>
      </c>
      <c r="AF20" s="110" t="s">
        <v>65</v>
      </c>
      <c r="AG20" s="73"/>
      <c r="AH20" s="98" t="s">
        <v>6</v>
      </c>
      <c r="AI20" s="99">
        <f>SUM(P15:P17)</f>
        <v>2.2000000000000002</v>
      </c>
      <c r="AJ20" s="73"/>
      <c r="AK20" s="109" t="s">
        <v>60</v>
      </c>
      <c r="AL20" s="110">
        <v>8.5999999999999993E-2</v>
      </c>
    </row>
    <row r="21" spans="1:38" x14ac:dyDescent="0.35">
      <c r="B21" s="15"/>
      <c r="C21" s="18" t="s">
        <v>10</v>
      </c>
      <c r="D21" s="21">
        <f>GEOMEAN(D16:F16)</f>
        <v>0.26456684199469993</v>
      </c>
      <c r="E21" s="15"/>
      <c r="F21" s="15"/>
      <c r="G21" s="15"/>
      <c r="H21" s="18" t="s">
        <v>10</v>
      </c>
      <c r="I21" s="21">
        <f>GEOMEAN(I16:K16)</f>
        <v>1.7099759466766968</v>
      </c>
      <c r="J21" s="15"/>
      <c r="K21" s="15"/>
      <c r="L21" s="15"/>
      <c r="M21" s="18" t="s">
        <v>10</v>
      </c>
      <c r="N21" s="21">
        <f>GEOMEAN(N16:P16)</f>
        <v>0.3419951893353394</v>
      </c>
      <c r="O21" s="15"/>
      <c r="P21" s="15"/>
      <c r="Q21" s="15"/>
      <c r="R21" s="18" t="s">
        <v>10</v>
      </c>
      <c r="S21" s="21">
        <f>GEOMEAN(S16:U16)</f>
        <v>0.36246012433429736</v>
      </c>
      <c r="T21" s="15"/>
      <c r="U21" s="15"/>
      <c r="V21" s="15"/>
      <c r="W21" s="15"/>
      <c r="X21" s="38"/>
      <c r="Y21" s="38"/>
      <c r="Z21" s="38"/>
      <c r="AB21" s="74"/>
      <c r="AC21" s="74"/>
      <c r="AD21" s="73"/>
      <c r="AE21" s="73"/>
      <c r="AF21" s="73"/>
      <c r="AG21" s="73"/>
      <c r="AH21" s="73"/>
      <c r="AI21" s="73"/>
      <c r="AJ21" s="73"/>
      <c r="AK21" s="73"/>
      <c r="AL21" s="73"/>
    </row>
    <row r="22" spans="1:38" ht="15" thickBot="1" x14ac:dyDescent="0.4">
      <c r="B22" s="15"/>
      <c r="C22" s="18" t="s">
        <v>11</v>
      </c>
      <c r="D22" s="21">
        <f>GEOMEAN(D17:F17)</f>
        <v>3.3019272488946267</v>
      </c>
      <c r="E22" s="15"/>
      <c r="F22" s="15"/>
      <c r="G22" s="15"/>
      <c r="H22" s="18" t="s">
        <v>11</v>
      </c>
      <c r="I22" s="21">
        <f>GEOMEAN(I17:K17)</f>
        <v>0.3419951893353394</v>
      </c>
      <c r="J22" s="15"/>
      <c r="K22" s="15"/>
      <c r="L22" s="15"/>
      <c r="M22" s="18" t="s">
        <v>11</v>
      </c>
      <c r="N22" s="21">
        <f>GEOMEAN(N17:P17)</f>
        <v>1.7099759466766968</v>
      </c>
      <c r="O22" s="15"/>
      <c r="P22" s="15"/>
      <c r="Q22" s="15"/>
      <c r="R22" s="18" t="s">
        <v>11</v>
      </c>
      <c r="S22" s="21">
        <f>GEOMEAN(S17:U17)</f>
        <v>3.2710663101885897</v>
      </c>
      <c r="T22" s="15"/>
      <c r="U22" s="47" t="s">
        <v>22</v>
      </c>
      <c r="V22" s="47"/>
      <c r="W22" s="15"/>
      <c r="X22" s="38"/>
      <c r="Y22" s="38"/>
      <c r="Z22" s="38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</row>
    <row r="23" spans="1:38" ht="15" thickBot="1" x14ac:dyDescent="0.4">
      <c r="B23" s="15"/>
      <c r="C23" s="18" t="s">
        <v>8</v>
      </c>
      <c r="D23" s="21">
        <f>SUM(D20:D22)</f>
        <v>4.7112083334426584</v>
      </c>
      <c r="E23" s="15"/>
      <c r="F23" s="15"/>
      <c r="G23" s="15"/>
      <c r="H23" s="18" t="s">
        <v>8</v>
      </c>
      <c r="I23" s="21">
        <f>SUM(I20:I22)</f>
        <v>3.7619470826887329</v>
      </c>
      <c r="J23" s="15"/>
      <c r="K23" s="15"/>
      <c r="L23" s="15"/>
      <c r="M23" s="18" t="s">
        <v>8</v>
      </c>
      <c r="N23" s="21">
        <f>SUM(N20:N22)</f>
        <v>3.7619470826887333</v>
      </c>
      <c r="O23" s="15"/>
      <c r="P23" s="15"/>
      <c r="Q23" s="15"/>
      <c r="R23" s="18" t="s">
        <v>8</v>
      </c>
      <c r="S23" s="21">
        <f>SUM(S20:S22)</f>
        <v>4.4769590998246365</v>
      </c>
      <c r="T23" s="15"/>
      <c r="U23" s="18" t="s">
        <v>26</v>
      </c>
      <c r="V23" s="21">
        <f>D26*Q4+I26*Q5+N26*Q6+S26*Q7</f>
        <v>0.31088165005877072</v>
      </c>
      <c r="W23" s="15"/>
      <c r="AB23" s="70" t="s">
        <v>66</v>
      </c>
      <c r="AC23" s="71"/>
      <c r="AD23" s="71"/>
      <c r="AE23" s="71"/>
      <c r="AF23" s="72"/>
      <c r="AG23" s="73"/>
      <c r="AH23" s="70" t="s">
        <v>67</v>
      </c>
      <c r="AI23" s="71"/>
      <c r="AJ23" s="71"/>
      <c r="AK23" s="71"/>
      <c r="AL23" s="72"/>
    </row>
    <row r="24" spans="1:38" ht="15" thickBot="1" x14ac:dyDescent="0.4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8" t="s">
        <v>23</v>
      </c>
      <c r="V24" s="21">
        <f>D27*Q4+I27*Q5+N27*Q6+S27*Q7</f>
        <v>0.16128552829299003</v>
      </c>
      <c r="W24" s="15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</row>
    <row r="25" spans="1:38" x14ac:dyDescent="0.35">
      <c r="B25" s="15"/>
      <c r="C25" s="47" t="s">
        <v>18</v>
      </c>
      <c r="D25" s="47"/>
      <c r="E25" s="15"/>
      <c r="F25" s="15"/>
      <c r="G25" s="15"/>
      <c r="H25" s="47" t="s">
        <v>18</v>
      </c>
      <c r="I25" s="47"/>
      <c r="J25" s="15"/>
      <c r="K25" s="15"/>
      <c r="L25" s="15"/>
      <c r="M25" s="47" t="s">
        <v>18</v>
      </c>
      <c r="N25" s="47"/>
      <c r="O25" s="15"/>
      <c r="P25" s="15"/>
      <c r="Q25" s="15"/>
      <c r="R25" s="47" t="s">
        <v>18</v>
      </c>
      <c r="S25" s="47"/>
      <c r="T25" s="15"/>
      <c r="U25" s="18" t="s">
        <v>24</v>
      </c>
      <c r="V25" s="21">
        <f>D28*Q4+I28*Q5+N28*Q6+S28*Q7</f>
        <v>0.52783282164823941</v>
      </c>
      <c r="W25" s="15"/>
      <c r="AB25" s="92" t="s">
        <v>55</v>
      </c>
      <c r="AC25" s="93"/>
      <c r="AD25" s="73"/>
      <c r="AE25" s="104" t="s">
        <v>56</v>
      </c>
      <c r="AF25" s="105">
        <f>I26*AC26+I27*Сумм+I28*AC28+0.01</f>
        <v>3.0100000000000007</v>
      </c>
      <c r="AG25" s="73"/>
      <c r="AH25" s="92" t="s">
        <v>55</v>
      </c>
      <c r="AI25" s="93"/>
      <c r="AJ25" s="73"/>
      <c r="AK25" s="104" t="s">
        <v>56</v>
      </c>
      <c r="AL25" s="105">
        <f>S26*AI26+S27*AI27+S28*AI28</f>
        <v>3.3077712758720708</v>
      </c>
    </row>
    <row r="26" spans="1:38" x14ac:dyDescent="0.35">
      <c r="B26" s="15"/>
      <c r="C26" s="18" t="s">
        <v>14</v>
      </c>
      <c r="D26" s="21">
        <f>D20/D23</f>
        <v>0.24297678250132612</v>
      </c>
      <c r="E26" s="15"/>
      <c r="F26" s="15"/>
      <c r="G26" s="15"/>
      <c r="H26" s="18" t="s">
        <v>14</v>
      </c>
      <c r="I26" s="21">
        <f>I20/I23</f>
        <v>0.45454545454545459</v>
      </c>
      <c r="J26" s="15"/>
      <c r="K26" s="15"/>
      <c r="L26" s="15"/>
      <c r="M26" s="18" t="s">
        <v>14</v>
      </c>
      <c r="N26" s="21">
        <f>N20/N23</f>
        <v>0.45454545454545453</v>
      </c>
      <c r="O26" s="15"/>
      <c r="P26" s="15"/>
      <c r="Q26" s="15"/>
      <c r="R26" s="18" t="s">
        <v>14</v>
      </c>
      <c r="S26" s="21">
        <f>S20/S23</f>
        <v>0.1883940966391198</v>
      </c>
      <c r="T26" s="15"/>
      <c r="U26" s="15"/>
      <c r="V26" s="15"/>
      <c r="W26" s="15"/>
      <c r="AB26" s="96" t="s">
        <v>4</v>
      </c>
      <c r="AC26" s="97">
        <f>SUM(I15:I17)</f>
        <v>2.2000000000000002</v>
      </c>
      <c r="AD26" s="73"/>
      <c r="AE26" s="106" t="s">
        <v>58</v>
      </c>
      <c r="AF26" s="108">
        <v>0.57999999999999996</v>
      </c>
      <c r="AG26" s="73"/>
      <c r="AH26" s="96" t="s">
        <v>4</v>
      </c>
      <c r="AI26" s="97">
        <f>SUM(S15:S17)</f>
        <v>6.333333333333333</v>
      </c>
      <c r="AJ26" s="73"/>
      <c r="AK26" s="106" t="s">
        <v>58</v>
      </c>
      <c r="AL26" s="108" t="s">
        <v>64</v>
      </c>
    </row>
    <row r="27" spans="1:38" x14ac:dyDescent="0.35">
      <c r="B27" s="15"/>
      <c r="C27" s="18" t="s">
        <v>15</v>
      </c>
      <c r="D27" s="21">
        <f>D21/D23</f>
        <v>5.6156897184245491E-2</v>
      </c>
      <c r="E27" s="15"/>
      <c r="F27" s="15"/>
      <c r="G27" s="15"/>
      <c r="H27" s="18" t="s">
        <v>15</v>
      </c>
      <c r="I27" s="21">
        <f>I21/I23</f>
        <v>0.45454545454545459</v>
      </c>
      <c r="J27" s="15"/>
      <c r="K27" s="15"/>
      <c r="L27" s="15"/>
      <c r="M27" s="18" t="s">
        <v>15</v>
      </c>
      <c r="N27" s="21">
        <f>N21/N23</f>
        <v>9.0909090909090912E-2</v>
      </c>
      <c r="O27" s="15"/>
      <c r="P27" s="15"/>
      <c r="Q27" s="15"/>
      <c r="R27" s="18" t="s">
        <v>15</v>
      </c>
      <c r="S27" s="21">
        <f>S21/S23</f>
        <v>8.096123199975068E-2</v>
      </c>
      <c r="T27" s="15"/>
      <c r="U27" s="15"/>
      <c r="V27" s="15"/>
      <c r="W27" s="15"/>
      <c r="AB27" s="96" t="s">
        <v>5</v>
      </c>
      <c r="AC27" s="97">
        <f>SUM(J15:J17)</f>
        <v>2.2000000000000002</v>
      </c>
      <c r="AD27" s="73"/>
      <c r="AE27" s="106" t="s">
        <v>61</v>
      </c>
      <c r="AF27" s="108">
        <f>(AF25-3)/2</f>
        <v>5.0000000000003375E-3</v>
      </c>
      <c r="AG27" s="73"/>
      <c r="AH27" s="96" t="s">
        <v>5</v>
      </c>
      <c r="AI27" s="97">
        <f>T15+SUM(T15:T17)</f>
        <v>14</v>
      </c>
      <c r="AJ27" s="73"/>
      <c r="AK27" s="106" t="s">
        <v>61</v>
      </c>
      <c r="AL27" s="108">
        <f>(AL25-3)/2</f>
        <v>0.15388563793603538</v>
      </c>
    </row>
    <row r="28" spans="1:38" ht="15" thickBot="1" x14ac:dyDescent="0.4">
      <c r="B28" s="15"/>
      <c r="C28" s="18" t="s">
        <v>16</v>
      </c>
      <c r="D28" s="21">
        <f>D22/D23</f>
        <v>0.70086632031442841</v>
      </c>
      <c r="E28" s="15"/>
      <c r="F28" s="15"/>
      <c r="G28" s="15"/>
      <c r="H28" s="18" t="s">
        <v>16</v>
      </c>
      <c r="I28" s="21">
        <f>I22/I23</f>
        <v>9.0909090909090925E-2</v>
      </c>
      <c r="J28" s="15"/>
      <c r="K28" s="15"/>
      <c r="L28" s="15"/>
      <c r="M28" s="18" t="s">
        <v>16</v>
      </c>
      <c r="N28" s="21">
        <f>N22/N23</f>
        <v>0.45454545454545453</v>
      </c>
      <c r="O28" s="15"/>
      <c r="P28" s="15"/>
      <c r="Q28" s="15"/>
      <c r="R28" s="18" t="s">
        <v>16</v>
      </c>
      <c r="S28" s="21">
        <f>S22/S23</f>
        <v>0.73064467136112954</v>
      </c>
      <c r="T28" s="15"/>
      <c r="U28" s="15"/>
      <c r="V28" s="15"/>
      <c r="W28" s="15"/>
      <c r="AB28" s="98" t="s">
        <v>6</v>
      </c>
      <c r="AC28" s="99">
        <f>SUM(K15:K17)</f>
        <v>11</v>
      </c>
      <c r="AD28" s="73"/>
      <c r="AE28" s="109" t="s">
        <v>60</v>
      </c>
      <c r="AF28" s="111">
        <v>0.08</v>
      </c>
      <c r="AG28" s="73"/>
      <c r="AH28" s="98" t="s">
        <v>6</v>
      </c>
      <c r="AI28" s="99">
        <f>SUM(U15:U17)</f>
        <v>1.342857142857143</v>
      </c>
      <c r="AJ28" s="73"/>
      <c r="AK28" s="109" t="s">
        <v>60</v>
      </c>
      <c r="AL28" s="111">
        <v>0.19600000000000001</v>
      </c>
    </row>
    <row r="29" spans="1:38" x14ac:dyDescent="0.3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38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8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38" ht="15" thickBot="1" x14ac:dyDescent="0.4">
      <c r="A32" s="1"/>
      <c r="B32" s="22"/>
      <c r="C32" s="23" t="s">
        <v>43</v>
      </c>
      <c r="D32" s="23"/>
      <c r="E32" s="23"/>
      <c r="F32" s="23"/>
      <c r="G32" s="23"/>
      <c r="H32" s="22"/>
      <c r="I32" s="24">
        <v>0.5</v>
      </c>
      <c r="J32" s="22"/>
      <c r="K32" s="22"/>
      <c r="L32" s="22"/>
      <c r="M32" s="25"/>
      <c r="N32" s="25"/>
      <c r="O32" s="25"/>
      <c r="P32" s="25"/>
      <c r="Q32" s="22"/>
      <c r="R32" s="22"/>
      <c r="S32" s="22"/>
      <c r="T32" s="22"/>
      <c r="U32" s="22"/>
      <c r="V32" s="22"/>
      <c r="W32" s="22"/>
      <c r="AB32" s="75" t="s">
        <v>63</v>
      </c>
      <c r="AC32" s="76"/>
      <c r="AD32" s="76"/>
      <c r="AE32" s="76"/>
      <c r="AF32" s="77"/>
      <c r="AG32" s="22"/>
      <c r="AH32" s="75" t="s">
        <v>68</v>
      </c>
      <c r="AI32" s="76"/>
      <c r="AJ32" s="76"/>
      <c r="AK32" s="76"/>
      <c r="AL32" s="77"/>
    </row>
    <row r="33" spans="1:38" ht="15" thickBot="1" x14ac:dyDescent="0.4">
      <c r="A33" s="1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x14ac:dyDescent="0.35">
      <c r="A34" s="1"/>
      <c r="B34" s="25"/>
      <c r="C34" s="54" t="s">
        <v>44</v>
      </c>
      <c r="D34" s="54"/>
      <c r="E34" s="54"/>
      <c r="F34" s="54"/>
      <c r="G34" s="25"/>
      <c r="H34" s="54" t="s">
        <v>45</v>
      </c>
      <c r="I34" s="54"/>
      <c r="J34" s="54"/>
      <c r="K34" s="54"/>
      <c r="L34" s="25"/>
      <c r="M34" s="54" t="s">
        <v>46</v>
      </c>
      <c r="N34" s="54"/>
      <c r="O34" s="54"/>
      <c r="P34" s="54"/>
      <c r="Q34" s="25"/>
      <c r="R34" s="54" t="s">
        <v>47</v>
      </c>
      <c r="S34" s="54"/>
      <c r="T34" s="54"/>
      <c r="U34" s="54"/>
      <c r="V34" s="25"/>
      <c r="W34" s="25"/>
      <c r="X34" s="1"/>
      <c r="AB34" s="80" t="s">
        <v>55</v>
      </c>
      <c r="AC34" s="81"/>
      <c r="AD34" s="22"/>
      <c r="AE34" s="89" t="s">
        <v>56</v>
      </c>
      <c r="AF34" s="86">
        <f>D47*AC35+D48*AC36+D49*AC37</f>
        <v>3</v>
      </c>
      <c r="AG34" s="22"/>
      <c r="AH34" s="78" t="s">
        <v>55</v>
      </c>
      <c r="AI34" s="79"/>
      <c r="AJ34" s="22"/>
      <c r="AK34" s="89" t="s">
        <v>56</v>
      </c>
      <c r="AL34" s="113">
        <f>N47*AI35+N48*AI36+N49*AI37</f>
        <v>3.0323666170045818</v>
      </c>
    </row>
    <row r="35" spans="1:38" x14ac:dyDescent="0.35">
      <c r="A35" s="1"/>
      <c r="B35" s="25"/>
      <c r="C35" s="26"/>
      <c r="D35" s="26" t="s">
        <v>19</v>
      </c>
      <c r="E35" s="26" t="s">
        <v>20</v>
      </c>
      <c r="F35" s="26" t="s">
        <v>21</v>
      </c>
      <c r="G35" s="25"/>
      <c r="H35" s="26"/>
      <c r="I35" s="26" t="s">
        <v>19</v>
      </c>
      <c r="J35" s="26" t="s">
        <v>20</v>
      </c>
      <c r="K35" s="26" t="s">
        <v>21</v>
      </c>
      <c r="L35" s="25"/>
      <c r="M35" s="26"/>
      <c r="N35" s="26" t="s">
        <v>19</v>
      </c>
      <c r="O35" s="26" t="s">
        <v>20</v>
      </c>
      <c r="P35" s="26" t="s">
        <v>21</v>
      </c>
      <c r="Q35" s="25"/>
      <c r="R35" s="26"/>
      <c r="S35" s="26" t="s">
        <v>19</v>
      </c>
      <c r="T35" s="26" t="s">
        <v>20</v>
      </c>
      <c r="U35" s="26" t="s">
        <v>21</v>
      </c>
      <c r="V35" s="25"/>
      <c r="W35" s="25"/>
      <c r="X35" s="1"/>
      <c r="AB35" s="82" t="s">
        <v>4</v>
      </c>
      <c r="AC35" s="83">
        <f>SUM(D36:D38)</f>
        <v>2.166666666666667</v>
      </c>
      <c r="AD35" s="22"/>
      <c r="AE35" s="90" t="s">
        <v>58</v>
      </c>
      <c r="AF35" s="87">
        <v>0.57999999999999996</v>
      </c>
      <c r="AG35" s="22"/>
      <c r="AH35" s="82" t="s">
        <v>4</v>
      </c>
      <c r="AI35" s="83">
        <f>SUM(N36:N38)</f>
        <v>4.25</v>
      </c>
      <c r="AJ35" s="22"/>
      <c r="AK35" s="90" t="s">
        <v>58</v>
      </c>
      <c r="AL35" s="114">
        <v>0.57999999999999996</v>
      </c>
    </row>
    <row r="36" spans="1:38" x14ac:dyDescent="0.35">
      <c r="A36" s="1"/>
      <c r="B36" s="25"/>
      <c r="C36" s="26" t="s">
        <v>19</v>
      </c>
      <c r="D36" s="27">
        <v>1</v>
      </c>
      <c r="E36" s="27">
        <v>6</v>
      </c>
      <c r="F36" s="27">
        <v>1</v>
      </c>
      <c r="G36" s="25"/>
      <c r="H36" s="26" t="s">
        <v>19</v>
      </c>
      <c r="I36" s="27">
        <v>1</v>
      </c>
      <c r="J36" s="28">
        <v>0.5</v>
      </c>
      <c r="K36" s="27">
        <v>4</v>
      </c>
      <c r="L36" s="25"/>
      <c r="M36" s="26" t="s">
        <v>19</v>
      </c>
      <c r="N36" s="27">
        <v>1</v>
      </c>
      <c r="O36" s="27">
        <v>4</v>
      </c>
      <c r="P36" s="28">
        <v>0.33333333333333331</v>
      </c>
      <c r="Q36" s="25"/>
      <c r="R36" s="26" t="s">
        <v>19</v>
      </c>
      <c r="S36" s="27">
        <v>1</v>
      </c>
      <c r="T36" s="27">
        <v>3</v>
      </c>
      <c r="U36" s="28">
        <v>0.2</v>
      </c>
      <c r="V36" s="25"/>
      <c r="W36" s="25"/>
      <c r="X36" s="1"/>
      <c r="AB36" s="82" t="s">
        <v>5</v>
      </c>
      <c r="AC36" s="83">
        <f>SUM(E36:E38)</f>
        <v>13</v>
      </c>
      <c r="AD36" s="22"/>
      <c r="AE36" s="90" t="s">
        <v>61</v>
      </c>
      <c r="AF36" s="87">
        <v>0</v>
      </c>
      <c r="AG36" s="22"/>
      <c r="AH36" s="82" t="s">
        <v>5</v>
      </c>
      <c r="AI36" s="83">
        <f>SUM(O36:O38)</f>
        <v>12</v>
      </c>
      <c r="AJ36" s="22"/>
      <c r="AK36" s="90" t="s">
        <v>61</v>
      </c>
      <c r="AL36" s="114">
        <f>(AL34-3)/2</f>
        <v>1.6183308502290883E-2</v>
      </c>
    </row>
    <row r="37" spans="1:38" ht="15" thickBot="1" x14ac:dyDescent="0.4">
      <c r="A37" s="1"/>
      <c r="B37" s="25"/>
      <c r="C37" s="26" t="s">
        <v>20</v>
      </c>
      <c r="D37" s="28">
        <v>0.16666666666666666</v>
      </c>
      <c r="E37" s="27">
        <v>1</v>
      </c>
      <c r="F37" s="28">
        <v>0.16666666666666666</v>
      </c>
      <c r="G37" s="25"/>
      <c r="H37" s="26" t="s">
        <v>20</v>
      </c>
      <c r="I37" s="27">
        <v>2</v>
      </c>
      <c r="J37" s="27">
        <v>1</v>
      </c>
      <c r="K37" s="27">
        <v>5</v>
      </c>
      <c r="L37" s="25"/>
      <c r="M37" s="26" t="s">
        <v>20</v>
      </c>
      <c r="N37" s="28">
        <v>0.25</v>
      </c>
      <c r="O37" s="27">
        <v>1</v>
      </c>
      <c r="P37" s="28">
        <v>0.14285714285714285</v>
      </c>
      <c r="Q37" s="25"/>
      <c r="R37" s="26" t="s">
        <v>20</v>
      </c>
      <c r="S37" s="28">
        <v>0.33333333333333331</v>
      </c>
      <c r="T37" s="27">
        <v>1</v>
      </c>
      <c r="U37" s="28">
        <v>0.14285714285714285</v>
      </c>
      <c r="V37" s="25"/>
      <c r="W37" s="25"/>
      <c r="X37" s="1"/>
      <c r="AB37" s="84" t="s">
        <v>6</v>
      </c>
      <c r="AC37" s="85">
        <f>SUM(F36:F38)</f>
        <v>2.166666666666667</v>
      </c>
      <c r="AD37" s="22"/>
      <c r="AE37" s="91" t="s">
        <v>60</v>
      </c>
      <c r="AF37" s="88">
        <v>0</v>
      </c>
      <c r="AG37" s="22"/>
      <c r="AH37" s="84" t="s">
        <v>6</v>
      </c>
      <c r="AI37" s="85">
        <f>SUM(P36:P38)</f>
        <v>1.4761904761904763</v>
      </c>
      <c r="AJ37" s="22"/>
      <c r="AK37" s="91" t="s">
        <v>60</v>
      </c>
      <c r="AL37" s="115">
        <v>2.8000000000000001E-2</v>
      </c>
    </row>
    <row r="38" spans="1:38" x14ac:dyDescent="0.35">
      <c r="A38" s="1"/>
      <c r="B38" s="25"/>
      <c r="C38" s="26" t="s">
        <v>21</v>
      </c>
      <c r="D38" s="27">
        <v>1</v>
      </c>
      <c r="E38" s="27">
        <v>6</v>
      </c>
      <c r="F38" s="27">
        <v>1</v>
      </c>
      <c r="G38" s="25"/>
      <c r="H38" s="26" t="s">
        <v>21</v>
      </c>
      <c r="I38" s="28">
        <v>0.25</v>
      </c>
      <c r="J38" s="28">
        <v>0.2</v>
      </c>
      <c r="K38" s="27">
        <v>1</v>
      </c>
      <c r="L38" s="25"/>
      <c r="M38" s="26" t="s">
        <v>21</v>
      </c>
      <c r="N38" s="27">
        <v>3</v>
      </c>
      <c r="O38" s="27">
        <v>7</v>
      </c>
      <c r="P38" s="27">
        <v>1</v>
      </c>
      <c r="Q38" s="25"/>
      <c r="R38" s="26" t="s">
        <v>21</v>
      </c>
      <c r="S38" s="27">
        <v>5</v>
      </c>
      <c r="T38" s="27">
        <v>7</v>
      </c>
      <c r="U38" s="27">
        <v>1</v>
      </c>
      <c r="V38" s="25"/>
      <c r="W38" s="25"/>
      <c r="X38" s="1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ht="15" thickBot="1" x14ac:dyDescent="0.4">
      <c r="A39" s="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1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ht="15" thickBot="1" x14ac:dyDescent="0.4">
      <c r="A40" s="1"/>
      <c r="B40" s="25"/>
      <c r="C40" s="53" t="s">
        <v>13</v>
      </c>
      <c r="D40" s="53"/>
      <c r="E40" s="25"/>
      <c r="F40" s="25"/>
      <c r="G40" s="25"/>
      <c r="H40" s="53" t="s">
        <v>13</v>
      </c>
      <c r="I40" s="53"/>
      <c r="J40" s="25"/>
      <c r="K40" s="25"/>
      <c r="L40" s="25"/>
      <c r="M40" s="53" t="s">
        <v>13</v>
      </c>
      <c r="N40" s="53"/>
      <c r="O40" s="25"/>
      <c r="P40" s="25"/>
      <c r="Q40" s="25"/>
      <c r="R40" s="53" t="s">
        <v>13</v>
      </c>
      <c r="S40" s="53"/>
      <c r="T40" s="25"/>
      <c r="U40" s="25"/>
      <c r="V40" s="25"/>
      <c r="W40" s="25"/>
      <c r="X40" s="1"/>
      <c r="AB40" s="75" t="s">
        <v>66</v>
      </c>
      <c r="AC40" s="76"/>
      <c r="AD40" s="76"/>
      <c r="AE40" s="76"/>
      <c r="AF40" s="77"/>
      <c r="AG40" s="22"/>
      <c r="AH40" s="75" t="s">
        <v>67</v>
      </c>
      <c r="AI40" s="76"/>
      <c r="AJ40" s="76"/>
      <c r="AK40" s="76"/>
      <c r="AL40" s="77"/>
    </row>
    <row r="41" spans="1:38" ht="15" thickBot="1" x14ac:dyDescent="0.4">
      <c r="A41" s="1"/>
      <c r="B41" s="25"/>
      <c r="C41" s="26" t="s">
        <v>9</v>
      </c>
      <c r="D41" s="29">
        <f>GEOMEAN(D36:F36)</f>
        <v>1.8171205928321397</v>
      </c>
      <c r="E41" s="25"/>
      <c r="F41" s="25"/>
      <c r="G41" s="25"/>
      <c r="H41" s="26" t="s">
        <v>9</v>
      </c>
      <c r="I41" s="29">
        <f>GEOMEAN(I36:K36)</f>
        <v>1.2599210498948732</v>
      </c>
      <c r="J41" s="25"/>
      <c r="K41" s="25"/>
      <c r="L41" s="25"/>
      <c r="M41" s="26" t="s">
        <v>9</v>
      </c>
      <c r="N41" s="29">
        <f>GEOMEAN(N36:P36)</f>
        <v>1.1006424162982089</v>
      </c>
      <c r="O41" s="25"/>
      <c r="P41" s="25"/>
      <c r="Q41" s="25"/>
      <c r="R41" s="26" t="s">
        <v>9</v>
      </c>
      <c r="S41" s="29">
        <f>GEOMEAN(S36:U36)</f>
        <v>0.84343266530174932</v>
      </c>
      <c r="T41" s="25"/>
      <c r="U41" s="25"/>
      <c r="V41" s="25"/>
      <c r="W41" s="25"/>
      <c r="X41" s="1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x14ac:dyDescent="0.35">
      <c r="A42" s="1"/>
      <c r="B42" s="25"/>
      <c r="C42" s="26" t="s">
        <v>10</v>
      </c>
      <c r="D42" s="29">
        <f>GEOMEAN(D37:F37)</f>
        <v>0.30285343213868993</v>
      </c>
      <c r="E42" s="25"/>
      <c r="F42" s="25"/>
      <c r="G42" s="25"/>
      <c r="H42" s="26" t="s">
        <v>10</v>
      </c>
      <c r="I42" s="29">
        <f>GEOMEAN(I37:K37)</f>
        <v>2.1544346900318838</v>
      </c>
      <c r="J42" s="25"/>
      <c r="K42" s="25"/>
      <c r="L42" s="25"/>
      <c r="M42" s="26" t="s">
        <v>10</v>
      </c>
      <c r="N42" s="29">
        <f>GEOMEAN(N37:P37)</f>
        <v>0.32931687800417475</v>
      </c>
      <c r="O42" s="25"/>
      <c r="P42" s="25"/>
      <c r="Q42" s="25"/>
      <c r="R42" s="26" t="s">
        <v>10</v>
      </c>
      <c r="S42" s="29">
        <f t="shared" ref="S42:S43" si="0">GEOMEAN(S37:U37)</f>
        <v>0.36246012433429736</v>
      </c>
      <c r="T42" s="25"/>
      <c r="U42" s="25"/>
      <c r="V42" s="25"/>
      <c r="W42" s="25"/>
      <c r="X42" s="1"/>
      <c r="AB42" s="78" t="s">
        <v>55</v>
      </c>
      <c r="AC42" s="79"/>
      <c r="AD42" s="22"/>
      <c r="AE42" s="89" t="s">
        <v>56</v>
      </c>
      <c r="AF42" s="113">
        <f>I47*AC43+I48*AC44+I49*AC45</f>
        <v>3.024595068623495</v>
      </c>
      <c r="AG42" s="22"/>
      <c r="AH42" s="78" t="s">
        <v>55</v>
      </c>
      <c r="AI42" s="79"/>
      <c r="AJ42" s="22"/>
      <c r="AK42" s="89" t="s">
        <v>56</v>
      </c>
      <c r="AL42" s="113">
        <f>S47*AI43+S48*AI44+S49*AI45</f>
        <v>3.2532816765119388</v>
      </c>
    </row>
    <row r="43" spans="1:38" x14ac:dyDescent="0.35">
      <c r="A43" s="1"/>
      <c r="B43" s="25"/>
      <c r="C43" s="26" t="s">
        <v>11</v>
      </c>
      <c r="D43" s="29">
        <f>GEOMEAN(D38:F38)</f>
        <v>1.8171205928321397</v>
      </c>
      <c r="E43" s="25"/>
      <c r="F43" s="25"/>
      <c r="G43" s="25"/>
      <c r="H43" s="26" t="s">
        <v>11</v>
      </c>
      <c r="I43" s="29">
        <f>GEOMEAN(I38:K38)</f>
        <v>0.36840314986403866</v>
      </c>
      <c r="J43" s="25"/>
      <c r="K43" s="25"/>
      <c r="L43" s="25"/>
      <c r="M43" s="26" t="s">
        <v>11</v>
      </c>
      <c r="N43" s="29">
        <f>GEOMEAN(N38:P38)</f>
        <v>2.7589241763811208</v>
      </c>
      <c r="O43" s="25"/>
      <c r="P43" s="25"/>
      <c r="Q43" s="25"/>
      <c r="R43" s="26" t="s">
        <v>11</v>
      </c>
      <c r="S43" s="29">
        <f t="shared" si="0"/>
        <v>3.2710663101885897</v>
      </c>
      <c r="T43" s="25"/>
      <c r="U43" s="48" t="s">
        <v>22</v>
      </c>
      <c r="V43" s="49"/>
      <c r="W43" s="25"/>
      <c r="X43" s="1"/>
      <c r="AB43" s="82" t="s">
        <v>4</v>
      </c>
      <c r="AC43" s="83">
        <f>SUM(I36:I38)</f>
        <v>3.25</v>
      </c>
      <c r="AD43" s="22"/>
      <c r="AE43" s="90" t="s">
        <v>58</v>
      </c>
      <c r="AF43" s="114">
        <v>0.57999999999999996</v>
      </c>
      <c r="AG43" s="22"/>
      <c r="AH43" s="82" t="s">
        <v>4</v>
      </c>
      <c r="AI43" s="83">
        <f>S36+SUM(S36:S38)</f>
        <v>7.333333333333333</v>
      </c>
      <c r="AJ43" s="22"/>
      <c r="AK43" s="90" t="s">
        <v>58</v>
      </c>
      <c r="AL43" s="114">
        <v>0.57999999999999996</v>
      </c>
    </row>
    <row r="44" spans="1:38" x14ac:dyDescent="0.35">
      <c r="A44" s="1"/>
      <c r="B44" s="25"/>
      <c r="C44" s="26" t="s">
        <v>8</v>
      </c>
      <c r="D44" s="29">
        <f>SUM(D41:D43)</f>
        <v>3.9370946178029689</v>
      </c>
      <c r="E44" s="25"/>
      <c r="F44" s="25"/>
      <c r="G44" s="25"/>
      <c r="H44" s="26" t="s">
        <v>8</v>
      </c>
      <c r="I44" s="29">
        <f>SUM(I41:I43)</f>
        <v>3.7827588897907956</v>
      </c>
      <c r="J44" s="25"/>
      <c r="K44" s="25"/>
      <c r="L44" s="25"/>
      <c r="M44" s="26" t="s">
        <v>8</v>
      </c>
      <c r="N44" s="29">
        <f>SUM(N41:N43)</f>
        <v>4.1888834706835043</v>
      </c>
      <c r="O44" s="25"/>
      <c r="P44" s="25"/>
      <c r="Q44" s="25"/>
      <c r="R44" s="26" t="s">
        <v>8</v>
      </c>
      <c r="S44" s="29">
        <f>SUM(S41:S43)</f>
        <v>4.4769590998246365</v>
      </c>
      <c r="T44" s="25"/>
      <c r="U44" s="26" t="s">
        <v>26</v>
      </c>
      <c r="V44" s="29">
        <f>D47*Q4+I47*Q5+N47*Q6+S47*Q7</f>
        <v>0.38402859288606017</v>
      </c>
      <c r="W44" s="25"/>
      <c r="X44" s="1"/>
      <c r="AB44" s="82" t="s">
        <v>5</v>
      </c>
      <c r="AC44" s="83">
        <f>SUM(J36:J38)</f>
        <v>1.7</v>
      </c>
      <c r="AD44" s="22"/>
      <c r="AE44" s="90" t="s">
        <v>61</v>
      </c>
      <c r="AF44" s="114">
        <f>(AF42-3)/2</f>
        <v>1.2297534311747516E-2</v>
      </c>
      <c r="AG44" s="22"/>
      <c r="AH44" s="82" t="s">
        <v>5</v>
      </c>
      <c r="AI44" s="83">
        <f>SUM(T36:T38)</f>
        <v>11</v>
      </c>
      <c r="AJ44" s="22"/>
      <c r="AK44" s="90" t="s">
        <v>61</v>
      </c>
      <c r="AL44" s="114">
        <f>(AL42-3)/2</f>
        <v>0.12664083825596939</v>
      </c>
    </row>
    <row r="45" spans="1:38" ht="15" thickBot="1" x14ac:dyDescent="0.4">
      <c r="A45" s="1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6" t="s">
        <v>23</v>
      </c>
      <c r="V45" s="29">
        <f>D48*Q4+I48*Q5+N48*Q6+S48*Q7</f>
        <v>0.20037570933912208</v>
      </c>
      <c r="W45" s="25"/>
      <c r="X45" s="1"/>
      <c r="AB45" s="84" t="s">
        <v>6</v>
      </c>
      <c r="AC45" s="85">
        <f>SUM(K36:K38)</f>
        <v>10</v>
      </c>
      <c r="AD45" s="22"/>
      <c r="AE45" s="91" t="s">
        <v>60</v>
      </c>
      <c r="AF45" s="115">
        <v>2.1000000000000001E-2</v>
      </c>
      <c r="AG45" s="22"/>
      <c r="AH45" s="84" t="s">
        <v>6</v>
      </c>
      <c r="AI45" s="85">
        <f>SUM(U36:U38)</f>
        <v>1.342857142857143</v>
      </c>
      <c r="AJ45" s="22"/>
      <c r="AK45" s="91" t="s">
        <v>60</v>
      </c>
      <c r="AL45" s="115">
        <v>0.9</v>
      </c>
    </row>
    <row r="46" spans="1:38" x14ac:dyDescent="0.35">
      <c r="A46" s="1"/>
      <c r="B46" s="25"/>
      <c r="C46" s="48" t="s">
        <v>18</v>
      </c>
      <c r="D46" s="49"/>
      <c r="E46" s="25"/>
      <c r="F46" s="25"/>
      <c r="G46" s="25"/>
      <c r="H46" s="48" t="s">
        <v>18</v>
      </c>
      <c r="I46" s="49"/>
      <c r="J46" s="25"/>
      <c r="K46" s="25"/>
      <c r="L46" s="25"/>
      <c r="M46" s="48" t="s">
        <v>18</v>
      </c>
      <c r="N46" s="49"/>
      <c r="O46" s="25"/>
      <c r="P46" s="25"/>
      <c r="Q46" s="25"/>
      <c r="R46" s="48" t="s">
        <v>18</v>
      </c>
      <c r="S46" s="49"/>
      <c r="T46" s="25"/>
      <c r="U46" s="26" t="s">
        <v>24</v>
      </c>
      <c r="V46" s="29">
        <f>D49*Q4+I49*Q5+N49*Q6+S49*Q7</f>
        <v>0.41559569777481781</v>
      </c>
      <c r="W46" s="25"/>
      <c r="X46" s="1"/>
    </row>
    <row r="47" spans="1:38" x14ac:dyDescent="0.35">
      <c r="A47" s="1"/>
      <c r="B47" s="25"/>
      <c r="C47" s="26" t="s">
        <v>14</v>
      </c>
      <c r="D47" s="29">
        <f>D41/D44</f>
        <v>0.46153846153846156</v>
      </c>
      <c r="E47" s="25"/>
      <c r="F47" s="25"/>
      <c r="G47" s="25"/>
      <c r="H47" s="26" t="s">
        <v>14</v>
      </c>
      <c r="I47" s="29">
        <f>I41/I44</f>
        <v>0.33306935139198174</v>
      </c>
      <c r="J47" s="25"/>
      <c r="K47" s="25"/>
      <c r="L47" s="25"/>
      <c r="M47" s="26" t="s">
        <v>14</v>
      </c>
      <c r="N47" s="29">
        <f>N41/N44</f>
        <v>0.26275317134057585</v>
      </c>
      <c r="O47" s="25"/>
      <c r="P47" s="25"/>
      <c r="Q47" s="25"/>
      <c r="R47" s="26" t="s">
        <v>14</v>
      </c>
      <c r="S47" s="29">
        <f>S41/S44</f>
        <v>0.1883940966391198</v>
      </c>
      <c r="T47" s="25"/>
      <c r="U47" s="25"/>
      <c r="V47" s="25"/>
      <c r="W47" s="25"/>
      <c r="X47" s="1"/>
    </row>
    <row r="48" spans="1:38" ht="15" thickBot="1" x14ac:dyDescent="0.4">
      <c r="A48" s="1"/>
      <c r="B48" s="25"/>
      <c r="C48" s="26" t="s">
        <v>15</v>
      </c>
      <c r="D48" s="29">
        <f>D42/D44</f>
        <v>7.6923076923076927E-2</v>
      </c>
      <c r="E48" s="25"/>
      <c r="F48" s="25"/>
      <c r="G48" s="25"/>
      <c r="H48" s="26" t="s">
        <v>15</v>
      </c>
      <c r="I48" s="29">
        <f>I42/I44</f>
        <v>0.56954057945549741</v>
      </c>
      <c r="J48" s="25"/>
      <c r="K48" s="25"/>
      <c r="L48" s="25"/>
      <c r="M48" s="26" t="s">
        <v>15</v>
      </c>
      <c r="N48" s="29">
        <f>N42/N44</f>
        <v>7.8616863015871813E-2</v>
      </c>
      <c r="O48" s="25"/>
      <c r="P48" s="25"/>
      <c r="Q48" s="25"/>
      <c r="R48" s="26" t="s">
        <v>15</v>
      </c>
      <c r="S48" s="29">
        <f>S42/S44</f>
        <v>8.096123199975068E-2</v>
      </c>
      <c r="T48" s="25"/>
      <c r="U48" s="25"/>
      <c r="V48" s="25"/>
      <c r="W48" s="25"/>
      <c r="X48" s="1"/>
    </row>
    <row r="49" spans="1:38" ht="15" thickBot="1" x14ac:dyDescent="0.4">
      <c r="A49" s="1"/>
      <c r="B49" s="25"/>
      <c r="C49" s="26" t="s">
        <v>16</v>
      </c>
      <c r="D49" s="29">
        <f>D43/D44</f>
        <v>0.46153846153846156</v>
      </c>
      <c r="E49" s="25"/>
      <c r="F49" s="25"/>
      <c r="G49" s="25"/>
      <c r="H49" s="26" t="s">
        <v>16</v>
      </c>
      <c r="I49" s="29">
        <f>I43/I44</f>
        <v>9.7390069152520867E-2</v>
      </c>
      <c r="J49" s="25"/>
      <c r="K49" s="25"/>
      <c r="L49" s="25"/>
      <c r="M49" s="26" t="s">
        <v>16</v>
      </c>
      <c r="N49" s="29">
        <f>N43/N44</f>
        <v>0.65862996564355236</v>
      </c>
      <c r="O49" s="25"/>
      <c r="P49" s="25"/>
      <c r="Q49" s="25"/>
      <c r="R49" s="26" t="s">
        <v>16</v>
      </c>
      <c r="S49" s="29">
        <f>S43/S44</f>
        <v>0.73064467136112954</v>
      </c>
      <c r="T49" s="25"/>
      <c r="U49" s="25"/>
      <c r="V49" s="25"/>
      <c r="W49" s="25"/>
      <c r="X49" s="1"/>
      <c r="AB49" s="116" t="s">
        <v>63</v>
      </c>
      <c r="AC49" s="117"/>
      <c r="AD49" s="117"/>
      <c r="AE49" s="117"/>
      <c r="AF49" s="118"/>
      <c r="AG49" s="32"/>
      <c r="AH49" s="116" t="s">
        <v>69</v>
      </c>
      <c r="AI49" s="117"/>
      <c r="AJ49" s="117"/>
      <c r="AK49" s="117"/>
      <c r="AL49" s="118"/>
    </row>
    <row r="50" spans="1:38" ht="15" thickBot="1" x14ac:dyDescent="0.4">
      <c r="A50" s="1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1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</row>
    <row r="51" spans="1:38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AB51" s="119" t="s">
        <v>55</v>
      </c>
      <c r="AC51" s="120"/>
      <c r="AD51" s="32"/>
      <c r="AE51" s="121" t="s">
        <v>56</v>
      </c>
      <c r="AF51" s="122">
        <f>D68*AC52+D69*AC53+D70*AC54</f>
        <v>3.0036945980636398</v>
      </c>
      <c r="AG51" s="32"/>
      <c r="AH51" s="119" t="s">
        <v>55</v>
      </c>
      <c r="AI51" s="120"/>
      <c r="AJ51" s="32"/>
      <c r="AK51" s="121" t="s">
        <v>56</v>
      </c>
      <c r="AL51" s="122">
        <f>N68*AI52+N69*AI53+N70*AI54</f>
        <v>3.0940151080255309</v>
      </c>
    </row>
    <row r="52" spans="1:3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AB52" s="123" t="s">
        <v>4</v>
      </c>
      <c r="AC52" s="124">
        <f>SUM(D57:D59)</f>
        <v>3.333333333333333</v>
      </c>
      <c r="AD52" s="32"/>
      <c r="AE52" s="125" t="s">
        <v>58</v>
      </c>
      <c r="AF52" s="126">
        <v>0.57999999999999996</v>
      </c>
      <c r="AG52" s="32"/>
      <c r="AH52" s="123" t="s">
        <v>4</v>
      </c>
      <c r="AI52" s="124">
        <f>SUM(N57:N59)</f>
        <v>4.2</v>
      </c>
      <c r="AJ52" s="32"/>
      <c r="AK52" s="125" t="s">
        <v>58</v>
      </c>
      <c r="AL52" s="126">
        <v>0.57999999999999996</v>
      </c>
    </row>
    <row r="53" spans="1:38" x14ac:dyDescent="0.35">
      <c r="A53" s="1"/>
      <c r="B53" s="30"/>
      <c r="C53" s="50" t="s">
        <v>48</v>
      </c>
      <c r="D53" s="50"/>
      <c r="E53" s="50"/>
      <c r="F53" s="50"/>
      <c r="G53" s="50"/>
      <c r="H53" s="31">
        <v>0.2</v>
      </c>
      <c r="I53" s="32"/>
      <c r="J53" s="32"/>
      <c r="K53" s="32"/>
      <c r="L53" s="32"/>
      <c r="M53" s="30"/>
      <c r="N53" s="30"/>
      <c r="O53" s="30"/>
      <c r="P53" s="30"/>
      <c r="Q53" s="32"/>
      <c r="R53" s="32"/>
      <c r="S53" s="32"/>
      <c r="T53" s="32"/>
      <c r="U53" s="32"/>
      <c r="V53" s="30"/>
      <c r="W53" s="30"/>
      <c r="X53" s="1"/>
      <c r="AB53" s="123" t="s">
        <v>5</v>
      </c>
      <c r="AC53" s="124">
        <f>SUM(E57:E59)</f>
        <v>9</v>
      </c>
      <c r="AD53" s="32"/>
      <c r="AE53" s="125" t="s">
        <v>61</v>
      </c>
      <c r="AF53" s="126">
        <f>(AF51-3)/2</f>
        <v>1.8472990318199045E-3</v>
      </c>
      <c r="AG53" s="32"/>
      <c r="AH53" s="123" t="s">
        <v>5</v>
      </c>
      <c r="AI53" s="124">
        <f>SUM(O57:O59)</f>
        <v>12</v>
      </c>
      <c r="AJ53" s="32"/>
      <c r="AK53" s="125" t="s">
        <v>61</v>
      </c>
      <c r="AL53" s="126">
        <f>(AL51-3)/2</f>
        <v>4.7007554012765462E-2</v>
      </c>
    </row>
    <row r="54" spans="1:38" ht="15" thickBot="1" x14ac:dyDescent="0.4">
      <c r="A54" s="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1"/>
      <c r="AB54" s="127" t="s">
        <v>6</v>
      </c>
      <c r="AC54" s="128">
        <f>SUM(F57:F59)</f>
        <v>1.7</v>
      </c>
      <c r="AD54" s="32"/>
      <c r="AE54" s="129" t="s">
        <v>60</v>
      </c>
      <c r="AF54" s="130">
        <v>3.0000000000000001E-3</v>
      </c>
      <c r="AG54" s="32"/>
      <c r="AH54" s="127" t="s">
        <v>6</v>
      </c>
      <c r="AI54" s="128">
        <f>SUM(P57:P59)</f>
        <v>1.5</v>
      </c>
      <c r="AJ54" s="32"/>
      <c r="AK54" s="129" t="s">
        <v>60</v>
      </c>
      <c r="AL54" s="130">
        <v>8.1000000000000003E-2</v>
      </c>
    </row>
    <row r="55" spans="1:38" x14ac:dyDescent="0.35">
      <c r="A55" s="1"/>
      <c r="B55" s="30"/>
      <c r="C55" s="51" t="s">
        <v>44</v>
      </c>
      <c r="D55" s="51"/>
      <c r="E55" s="51"/>
      <c r="F55" s="51"/>
      <c r="G55" s="30"/>
      <c r="H55" s="51" t="s">
        <v>45</v>
      </c>
      <c r="I55" s="51"/>
      <c r="J55" s="51"/>
      <c r="K55" s="51"/>
      <c r="L55" s="30"/>
      <c r="M55" s="51" t="s">
        <v>46</v>
      </c>
      <c r="N55" s="51"/>
      <c r="O55" s="51"/>
      <c r="P55" s="51"/>
      <c r="Q55" s="30"/>
      <c r="R55" s="51" t="s">
        <v>47</v>
      </c>
      <c r="S55" s="51"/>
      <c r="T55" s="51"/>
      <c r="U55" s="51"/>
      <c r="V55" s="30"/>
      <c r="W55" s="30"/>
      <c r="X55" s="1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spans="1:38" ht="15" thickBot="1" x14ac:dyDescent="0.4">
      <c r="A56" s="1"/>
      <c r="B56" s="30"/>
      <c r="C56" s="33"/>
      <c r="D56" s="33" t="s">
        <v>19</v>
      </c>
      <c r="E56" s="33" t="s">
        <v>20</v>
      </c>
      <c r="F56" s="33" t="s">
        <v>21</v>
      </c>
      <c r="G56" s="30"/>
      <c r="H56" s="33"/>
      <c r="I56" s="33" t="s">
        <v>19</v>
      </c>
      <c r="J56" s="33" t="s">
        <v>20</v>
      </c>
      <c r="K56" s="33" t="s">
        <v>21</v>
      </c>
      <c r="L56" s="30"/>
      <c r="M56" s="33"/>
      <c r="N56" s="33" t="s">
        <v>19</v>
      </c>
      <c r="O56" s="33" t="s">
        <v>20</v>
      </c>
      <c r="P56" s="33" t="s">
        <v>21</v>
      </c>
      <c r="Q56" s="30"/>
      <c r="R56" s="33"/>
      <c r="S56" s="33" t="s">
        <v>19</v>
      </c>
      <c r="T56" s="33" t="s">
        <v>20</v>
      </c>
      <c r="U56" s="33" t="s">
        <v>21</v>
      </c>
      <c r="V56" s="30"/>
      <c r="W56" s="30"/>
      <c r="X56" s="1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38" ht="15" thickBot="1" x14ac:dyDescent="0.4">
      <c r="A57" s="1"/>
      <c r="B57" s="30"/>
      <c r="C57" s="33" t="s">
        <v>19</v>
      </c>
      <c r="D57" s="34">
        <v>1</v>
      </c>
      <c r="E57" s="34">
        <v>3</v>
      </c>
      <c r="F57" s="35">
        <v>0.5</v>
      </c>
      <c r="G57" s="30"/>
      <c r="H57" s="33" t="s">
        <v>19</v>
      </c>
      <c r="I57" s="34">
        <v>1</v>
      </c>
      <c r="J57" s="35">
        <v>0.33333333333333331</v>
      </c>
      <c r="K57" s="34">
        <v>5</v>
      </c>
      <c r="L57" s="30"/>
      <c r="M57" s="33" t="s">
        <v>19</v>
      </c>
      <c r="N57" s="34">
        <v>1</v>
      </c>
      <c r="O57" s="34">
        <v>5</v>
      </c>
      <c r="P57" s="35">
        <v>0.33333333333333331</v>
      </c>
      <c r="Q57" s="30"/>
      <c r="R57" s="33" t="s">
        <v>19</v>
      </c>
      <c r="S57" s="34">
        <v>1</v>
      </c>
      <c r="T57" s="34">
        <v>3</v>
      </c>
      <c r="U57" s="35">
        <v>0.2</v>
      </c>
      <c r="V57" s="30"/>
      <c r="W57" s="30"/>
      <c r="X57" s="1"/>
      <c r="AB57" s="116" t="s">
        <v>66</v>
      </c>
      <c r="AC57" s="117"/>
      <c r="AD57" s="117"/>
      <c r="AE57" s="117"/>
      <c r="AF57" s="118"/>
      <c r="AG57" s="32"/>
      <c r="AH57" s="116" t="s">
        <v>67</v>
      </c>
      <c r="AI57" s="117"/>
      <c r="AJ57" s="117"/>
      <c r="AK57" s="117"/>
      <c r="AL57" s="118"/>
    </row>
    <row r="58" spans="1:38" ht="15" thickBot="1" x14ac:dyDescent="0.4">
      <c r="A58" s="1"/>
      <c r="B58" s="30"/>
      <c r="C58" s="33" t="s">
        <v>20</v>
      </c>
      <c r="D58" s="35">
        <v>0.33333333333333331</v>
      </c>
      <c r="E58" s="34">
        <v>1</v>
      </c>
      <c r="F58" s="35">
        <v>0.2</v>
      </c>
      <c r="G58" s="30"/>
      <c r="H58" s="33" t="s">
        <v>20</v>
      </c>
      <c r="I58" s="34">
        <v>3</v>
      </c>
      <c r="J58" s="34">
        <v>1</v>
      </c>
      <c r="K58" s="34">
        <v>7</v>
      </c>
      <c r="L58" s="30"/>
      <c r="M58" s="33" t="s">
        <v>20</v>
      </c>
      <c r="N58" s="35">
        <v>0.2</v>
      </c>
      <c r="O58" s="34">
        <v>1</v>
      </c>
      <c r="P58" s="35">
        <v>0.16666666666666666</v>
      </c>
      <c r="Q58" s="30"/>
      <c r="R58" s="33" t="s">
        <v>20</v>
      </c>
      <c r="S58" s="35">
        <v>0.33333333333333331</v>
      </c>
      <c r="T58" s="34">
        <v>1</v>
      </c>
      <c r="U58" s="35">
        <v>0.14285714285714285</v>
      </c>
      <c r="V58" s="30"/>
      <c r="W58" s="30"/>
      <c r="X58" s="1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38" x14ac:dyDescent="0.35">
      <c r="A59" s="1"/>
      <c r="B59" s="30"/>
      <c r="C59" s="33" t="s">
        <v>21</v>
      </c>
      <c r="D59" s="34">
        <v>2</v>
      </c>
      <c r="E59" s="34">
        <v>5</v>
      </c>
      <c r="F59" s="34">
        <v>1</v>
      </c>
      <c r="G59" s="30"/>
      <c r="H59" s="33" t="s">
        <v>21</v>
      </c>
      <c r="I59" s="35">
        <v>0.2</v>
      </c>
      <c r="J59" s="35">
        <v>0.14285714285714285</v>
      </c>
      <c r="K59" s="34">
        <v>1</v>
      </c>
      <c r="L59" s="30"/>
      <c r="M59" s="33" t="s">
        <v>21</v>
      </c>
      <c r="N59" s="34">
        <v>3</v>
      </c>
      <c r="O59" s="34">
        <v>6</v>
      </c>
      <c r="P59" s="34">
        <v>1</v>
      </c>
      <c r="Q59" s="30"/>
      <c r="R59" s="33" t="s">
        <v>21</v>
      </c>
      <c r="S59" s="34">
        <v>5</v>
      </c>
      <c r="T59" s="34">
        <v>7</v>
      </c>
      <c r="U59" s="34">
        <v>1</v>
      </c>
      <c r="V59" s="30"/>
      <c r="W59" s="30"/>
      <c r="X59" s="1"/>
      <c r="AB59" s="119" t="s">
        <v>55</v>
      </c>
      <c r="AC59" s="120"/>
      <c r="AD59" s="32"/>
      <c r="AE59" s="121" t="s">
        <v>56</v>
      </c>
      <c r="AF59" s="122">
        <f>I68*AC60+I69*AC61+I70*AC62</f>
        <v>3.0648875798728188</v>
      </c>
      <c r="AG59" s="32"/>
      <c r="AH59" s="119" t="s">
        <v>55</v>
      </c>
      <c r="AI59" s="120"/>
      <c r="AJ59" s="32"/>
      <c r="AK59" s="121" t="s">
        <v>56</v>
      </c>
      <c r="AL59" s="122">
        <f>S68*AI60+S69*AI61+S70*AI62</f>
        <v>3.0648875798728188</v>
      </c>
    </row>
    <row r="60" spans="1:38" x14ac:dyDescent="0.35">
      <c r="A60" s="1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1"/>
      <c r="AB60" s="123" t="s">
        <v>4</v>
      </c>
      <c r="AC60" s="124">
        <f>SUM(I57:I59)</f>
        <v>4.2</v>
      </c>
      <c r="AD60" s="32"/>
      <c r="AE60" s="125" t="s">
        <v>58</v>
      </c>
      <c r="AF60" s="126">
        <v>0.57999999999999996</v>
      </c>
      <c r="AG60" s="32"/>
      <c r="AH60" s="123" t="s">
        <v>4</v>
      </c>
      <c r="AI60" s="124">
        <f>SUM(S57:S59)</f>
        <v>6.333333333333333</v>
      </c>
      <c r="AJ60" s="32"/>
      <c r="AK60" s="125" t="s">
        <v>58</v>
      </c>
      <c r="AL60" s="126">
        <v>0.57999999999999996</v>
      </c>
    </row>
    <row r="61" spans="1:38" x14ac:dyDescent="0.35">
      <c r="A61" s="1"/>
      <c r="B61" s="30"/>
      <c r="C61" s="52" t="s">
        <v>13</v>
      </c>
      <c r="D61" s="52"/>
      <c r="E61" s="30"/>
      <c r="F61" s="30"/>
      <c r="G61" s="30"/>
      <c r="H61" s="52" t="s">
        <v>13</v>
      </c>
      <c r="I61" s="52"/>
      <c r="J61" s="30"/>
      <c r="K61" s="30"/>
      <c r="L61" s="30"/>
      <c r="M61" s="52" t="s">
        <v>13</v>
      </c>
      <c r="N61" s="52"/>
      <c r="O61" s="30"/>
      <c r="P61" s="30"/>
      <c r="Q61" s="30"/>
      <c r="R61" s="52" t="s">
        <v>13</v>
      </c>
      <c r="S61" s="52"/>
      <c r="T61" s="30"/>
      <c r="U61" s="30"/>
      <c r="V61" s="30"/>
      <c r="W61" s="30"/>
      <c r="X61" s="1"/>
      <c r="AB61" s="123" t="s">
        <v>5</v>
      </c>
      <c r="AC61" s="124">
        <f>SUM(J57:J59)</f>
        <v>1.4761904761904761</v>
      </c>
      <c r="AD61" s="32"/>
      <c r="AE61" s="125" t="s">
        <v>61</v>
      </c>
      <c r="AF61" s="126">
        <f>(AF59-3)/2</f>
        <v>3.2443789936409395E-2</v>
      </c>
      <c r="AG61" s="32"/>
      <c r="AH61" s="123" t="s">
        <v>5</v>
      </c>
      <c r="AI61" s="124">
        <f>SUM(T57:T59)</f>
        <v>11</v>
      </c>
      <c r="AJ61" s="32"/>
      <c r="AK61" s="125" t="s">
        <v>61</v>
      </c>
      <c r="AL61" s="126">
        <f>(AL59-3)/2</f>
        <v>3.2443789936409395E-2</v>
      </c>
    </row>
    <row r="62" spans="1:38" ht="15" thickBot="1" x14ac:dyDescent="0.4">
      <c r="A62" s="1"/>
      <c r="B62" s="30"/>
      <c r="C62" s="33" t="s">
        <v>9</v>
      </c>
      <c r="D62" s="36">
        <f>GEOMEAN(D57:F57)</f>
        <v>1.1447142425533319</v>
      </c>
      <c r="E62" s="30"/>
      <c r="F62" s="30"/>
      <c r="G62" s="30"/>
      <c r="H62" s="33" t="s">
        <v>9</v>
      </c>
      <c r="I62" s="36">
        <f>GEOMEAN(I57:K57)</f>
        <v>1.1856311014966876</v>
      </c>
      <c r="J62" s="30"/>
      <c r="K62" s="30"/>
      <c r="L62" s="30"/>
      <c r="M62" s="33" t="s">
        <v>9</v>
      </c>
      <c r="N62" s="36">
        <f>GEOMEAN(N57:P57)</f>
        <v>1.1856311014966876</v>
      </c>
      <c r="O62" s="30"/>
      <c r="P62" s="30"/>
      <c r="Q62" s="30"/>
      <c r="R62" s="33" t="s">
        <v>9</v>
      </c>
      <c r="S62" s="36">
        <f>GEOMEAN(S57:U57)</f>
        <v>0.84343266530174932</v>
      </c>
      <c r="T62" s="30"/>
      <c r="U62" s="30"/>
      <c r="V62" s="30"/>
      <c r="W62" s="30"/>
      <c r="X62" s="1"/>
      <c r="AB62" s="127" t="s">
        <v>6</v>
      </c>
      <c r="AC62" s="128">
        <f>SUM(K57:K59)</f>
        <v>13</v>
      </c>
      <c r="AD62" s="32"/>
      <c r="AE62" s="129" t="s">
        <v>60</v>
      </c>
      <c r="AF62" s="130">
        <v>5.5E-2</v>
      </c>
      <c r="AG62" s="32"/>
      <c r="AH62" s="127" t="s">
        <v>6</v>
      </c>
      <c r="AI62" s="128">
        <f>SUM(U57:U59)</f>
        <v>1.342857142857143</v>
      </c>
      <c r="AJ62" s="32"/>
      <c r="AK62" s="129" t="s">
        <v>60</v>
      </c>
      <c r="AL62" s="130">
        <v>5.5E-2</v>
      </c>
    </row>
    <row r="63" spans="1:38" x14ac:dyDescent="0.35">
      <c r="A63" s="1"/>
      <c r="B63" s="30"/>
      <c r="C63" s="33" t="s">
        <v>10</v>
      </c>
      <c r="D63" s="36">
        <f>GEOMEAN(D58:F58)</f>
        <v>0.40548013303822666</v>
      </c>
      <c r="E63" s="30"/>
      <c r="F63" s="30"/>
      <c r="G63" s="30"/>
      <c r="H63" s="33" t="s">
        <v>10</v>
      </c>
      <c r="I63" s="36">
        <f t="shared" ref="I63:I64" si="1">GEOMEAN(I58:K58)</f>
        <v>2.7589241763811208</v>
      </c>
      <c r="J63" s="30"/>
      <c r="K63" s="30"/>
      <c r="L63" s="30"/>
      <c r="M63" s="33" t="s">
        <v>10</v>
      </c>
      <c r="N63" s="36">
        <f t="shared" ref="N63:N64" si="2">GEOMEAN(N58:P58)</f>
        <v>0.32182979486854324</v>
      </c>
      <c r="O63" s="30"/>
      <c r="P63" s="30"/>
      <c r="Q63" s="30"/>
      <c r="R63" s="33" t="s">
        <v>10</v>
      </c>
      <c r="S63" s="36">
        <f t="shared" ref="S63:S64" si="3">GEOMEAN(S58:U58)</f>
        <v>0.36246012433429736</v>
      </c>
      <c r="T63" s="30"/>
      <c r="U63" s="30"/>
      <c r="V63" s="30"/>
      <c r="W63" s="30"/>
      <c r="X63" s="1"/>
    </row>
    <row r="64" spans="1:38" x14ac:dyDescent="0.35">
      <c r="A64" s="1"/>
      <c r="B64" s="30"/>
      <c r="C64" s="33" t="s">
        <v>11</v>
      </c>
      <c r="D64" s="36">
        <f t="shared" ref="D64" si="4">GEOMEAN(D59:F59)</f>
        <v>2.1544346900318838</v>
      </c>
      <c r="E64" s="30"/>
      <c r="F64" s="30"/>
      <c r="G64" s="30"/>
      <c r="H64" s="33" t="s">
        <v>11</v>
      </c>
      <c r="I64" s="36">
        <f t="shared" si="1"/>
        <v>0.30571070873287987</v>
      </c>
      <c r="J64" s="30"/>
      <c r="K64" s="30"/>
      <c r="L64" s="30"/>
      <c r="M64" s="33" t="s">
        <v>11</v>
      </c>
      <c r="N64" s="36">
        <f t="shared" si="2"/>
        <v>2.6207413942088964</v>
      </c>
      <c r="O64" s="30"/>
      <c r="P64" s="30"/>
      <c r="Q64" s="30"/>
      <c r="R64" s="33" t="s">
        <v>11</v>
      </c>
      <c r="S64" s="36">
        <f t="shared" si="3"/>
        <v>3.2710663101885897</v>
      </c>
      <c r="T64" s="30"/>
      <c r="U64" s="45" t="s">
        <v>22</v>
      </c>
      <c r="V64" s="46"/>
      <c r="W64" s="30"/>
      <c r="X64" s="1"/>
    </row>
    <row r="65" spans="1:24" x14ac:dyDescent="0.35">
      <c r="A65" s="1"/>
      <c r="B65" s="30"/>
      <c r="C65" s="33" t="s">
        <v>8</v>
      </c>
      <c r="D65" s="36">
        <f>SUM(D62:D64)</f>
        <v>3.7046290656234424</v>
      </c>
      <c r="E65" s="30"/>
      <c r="F65" s="30"/>
      <c r="G65" s="30"/>
      <c r="H65" s="33" t="s">
        <v>8</v>
      </c>
      <c r="I65" s="36">
        <f>SUM(I62:I64)</f>
        <v>4.250265986610688</v>
      </c>
      <c r="J65" s="30"/>
      <c r="K65" s="30"/>
      <c r="L65" s="30"/>
      <c r="M65" s="33" t="s">
        <v>8</v>
      </c>
      <c r="N65" s="36">
        <f>SUM(N62:N64)</f>
        <v>4.1282022905741274</v>
      </c>
      <c r="O65" s="30"/>
      <c r="P65" s="30"/>
      <c r="Q65" s="30"/>
      <c r="R65" s="33" t="s">
        <v>8</v>
      </c>
      <c r="S65" s="36">
        <f>SUM(S62:S64)</f>
        <v>4.4769590998246365</v>
      </c>
      <c r="T65" s="30"/>
      <c r="U65" s="33" t="s">
        <v>26</v>
      </c>
      <c r="V65" s="36">
        <f>D68*Q4+I68*Q5+N68*Q6+S68*Q7</f>
        <v>0.28778465999781389</v>
      </c>
      <c r="W65" s="30"/>
      <c r="X65" s="1"/>
    </row>
    <row r="66" spans="1:24" x14ac:dyDescent="0.35">
      <c r="A66" s="1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3" t="s">
        <v>23</v>
      </c>
      <c r="V66" s="36">
        <f>D69*Q4+I69*Q5+N69*Q6+S69*Q7</f>
        <v>0.23831256561886557</v>
      </c>
      <c r="W66" s="30"/>
      <c r="X66" s="1"/>
    </row>
    <row r="67" spans="1:24" x14ac:dyDescent="0.35">
      <c r="A67" s="1"/>
      <c r="B67" s="30"/>
      <c r="C67" s="45" t="s">
        <v>18</v>
      </c>
      <c r="D67" s="46"/>
      <c r="E67" s="30"/>
      <c r="F67" s="30"/>
      <c r="G67" s="30"/>
      <c r="H67" s="45" t="s">
        <v>18</v>
      </c>
      <c r="I67" s="46"/>
      <c r="J67" s="30"/>
      <c r="K67" s="30"/>
      <c r="L67" s="30"/>
      <c r="M67" s="45" t="s">
        <v>18</v>
      </c>
      <c r="N67" s="46"/>
      <c r="O67" s="30"/>
      <c r="P67" s="30"/>
      <c r="Q67" s="30"/>
      <c r="R67" s="45" t="s">
        <v>18</v>
      </c>
      <c r="S67" s="46"/>
      <c r="T67" s="30"/>
      <c r="U67" s="33" t="s">
        <v>24</v>
      </c>
      <c r="V67" s="36">
        <f>D70*Q4+I70*Q5+N70*Q6+S70*Q7</f>
        <v>0.47390277438332062</v>
      </c>
      <c r="W67" s="30"/>
      <c r="X67" s="1"/>
    </row>
    <row r="68" spans="1:24" x14ac:dyDescent="0.35">
      <c r="A68" s="1"/>
      <c r="B68" s="30"/>
      <c r="C68" s="33" t="s">
        <v>14</v>
      </c>
      <c r="D68" s="36">
        <f>D62/D65</f>
        <v>0.30899564363286419</v>
      </c>
      <c r="E68" s="30"/>
      <c r="F68" s="30"/>
      <c r="G68" s="30"/>
      <c r="H68" s="33" t="s">
        <v>14</v>
      </c>
      <c r="I68" s="36">
        <f>I62/I65</f>
        <v>0.27895456548641834</v>
      </c>
      <c r="J68" s="30"/>
      <c r="K68" s="30"/>
      <c r="L68" s="30"/>
      <c r="M68" s="33" t="s">
        <v>14</v>
      </c>
      <c r="N68" s="36">
        <f>N62/N65</f>
        <v>0.28720276237524123</v>
      </c>
      <c r="O68" s="30"/>
      <c r="P68" s="30"/>
      <c r="Q68" s="30"/>
      <c r="R68" s="33" t="s">
        <v>14</v>
      </c>
      <c r="S68" s="36">
        <f>S62/S65</f>
        <v>0.1883940966391198</v>
      </c>
      <c r="T68" s="30"/>
      <c r="U68" s="30"/>
      <c r="V68" s="30"/>
      <c r="W68" s="30"/>
      <c r="X68" s="1"/>
    </row>
    <row r="69" spans="1:24" x14ac:dyDescent="0.35">
      <c r="A69" s="1"/>
      <c r="B69" s="30"/>
      <c r="C69" s="33" t="s">
        <v>15</v>
      </c>
      <c r="D69" s="36">
        <f>D63/D65</f>
        <v>0.10945228951551982</v>
      </c>
      <c r="E69" s="30"/>
      <c r="F69" s="30"/>
      <c r="G69" s="30"/>
      <c r="H69" s="33" t="s">
        <v>15</v>
      </c>
      <c r="I69" s="36">
        <f>I63/I65</f>
        <v>0.6491180046313253</v>
      </c>
      <c r="J69" s="30"/>
      <c r="K69" s="30"/>
      <c r="L69" s="30"/>
      <c r="M69" s="33" t="s">
        <v>15</v>
      </c>
      <c r="N69" s="36">
        <f>N63/N65</f>
        <v>7.7958823772607558E-2</v>
      </c>
      <c r="O69" s="30"/>
      <c r="P69" s="30"/>
      <c r="Q69" s="30"/>
      <c r="R69" s="33" t="s">
        <v>15</v>
      </c>
      <c r="S69" s="36">
        <f>S63/S65</f>
        <v>8.096123199975068E-2</v>
      </c>
      <c r="T69" s="30"/>
      <c r="U69" s="30"/>
      <c r="V69" s="30"/>
      <c r="W69" s="30"/>
      <c r="X69" s="1"/>
    </row>
    <row r="70" spans="1:24" x14ac:dyDescent="0.35">
      <c r="A70" s="1"/>
      <c r="B70" s="30"/>
      <c r="C70" s="33" t="s">
        <v>16</v>
      </c>
      <c r="D70" s="36">
        <f>D64/D65</f>
        <v>0.58155206685161598</v>
      </c>
      <c r="E70" s="30"/>
      <c r="F70" s="30"/>
      <c r="G70" s="30"/>
      <c r="H70" s="33" t="s">
        <v>16</v>
      </c>
      <c r="I70" s="36">
        <f>I64/I65</f>
        <v>7.1927429882256463E-2</v>
      </c>
      <c r="J70" s="30"/>
      <c r="K70" s="30"/>
      <c r="L70" s="30"/>
      <c r="M70" s="33" t="s">
        <v>16</v>
      </c>
      <c r="N70" s="36">
        <f>N64/N65</f>
        <v>0.63483841385215123</v>
      </c>
      <c r="O70" s="30"/>
      <c r="P70" s="30"/>
      <c r="Q70" s="30"/>
      <c r="R70" s="33" t="s">
        <v>16</v>
      </c>
      <c r="S70" s="36">
        <f>S64/S65</f>
        <v>0.73064467136112954</v>
      </c>
      <c r="T70" s="30"/>
      <c r="U70" s="30"/>
      <c r="V70" s="30"/>
      <c r="W70" s="30"/>
      <c r="X70" s="1"/>
    </row>
    <row r="71" spans="1:24" x14ac:dyDescent="0.35">
      <c r="A71" s="1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1"/>
    </row>
    <row r="72" spans="1:24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4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5" spans="1:24" x14ac:dyDescent="0.35">
      <c r="D75" s="42" t="s">
        <v>27</v>
      </c>
      <c r="E75" s="44" t="s">
        <v>28</v>
      </c>
      <c r="F75" s="44"/>
      <c r="G75" s="44"/>
      <c r="H75" s="44"/>
      <c r="I75" s="44"/>
      <c r="J75" s="44"/>
      <c r="K75" s="44"/>
      <c r="L75" s="44"/>
      <c r="M75" s="44"/>
      <c r="N75" s="3"/>
      <c r="O75" s="41" t="s">
        <v>32</v>
      </c>
      <c r="P75" s="41"/>
      <c r="Q75" s="3"/>
      <c r="R75" s="3"/>
      <c r="S75" s="3"/>
    </row>
    <row r="76" spans="1:24" x14ac:dyDescent="0.35">
      <c r="D76" s="43"/>
      <c r="E76" s="44" t="s">
        <v>29</v>
      </c>
      <c r="F76" s="44"/>
      <c r="G76" s="44"/>
      <c r="H76" s="44" t="s">
        <v>30</v>
      </c>
      <c r="I76" s="44"/>
      <c r="J76" s="44"/>
      <c r="K76" s="44" t="s">
        <v>31</v>
      </c>
      <c r="L76" s="44"/>
      <c r="M76" s="44"/>
      <c r="N76" s="3"/>
      <c r="O76" s="4" t="s">
        <v>33</v>
      </c>
      <c r="P76" s="5">
        <f>E77*G11+H77*I32+K77*H53</f>
        <v>0.34283572346022412</v>
      </c>
      <c r="Q76" s="3"/>
      <c r="R76" s="3"/>
      <c r="S76" s="3"/>
    </row>
    <row r="77" spans="1:24" x14ac:dyDescent="0.35">
      <c r="D77" s="4" t="s">
        <v>19</v>
      </c>
      <c r="E77" s="40">
        <f>V23</f>
        <v>0.31088165005877072</v>
      </c>
      <c r="F77" s="40"/>
      <c r="G77" s="40"/>
      <c r="H77" s="40">
        <f>V44</f>
        <v>0.38402859288606017</v>
      </c>
      <c r="I77" s="40"/>
      <c r="J77" s="40"/>
      <c r="K77" s="40">
        <f>V65</f>
        <v>0.28778465999781389</v>
      </c>
      <c r="L77" s="40"/>
      <c r="M77" s="40"/>
      <c r="N77" s="3"/>
      <c r="O77" s="4" t="s">
        <v>34</v>
      </c>
      <c r="P77" s="5">
        <f>E78*G11+H78*I32+K78*H53</f>
        <v>0.19623602628123116</v>
      </c>
      <c r="Q77" s="3"/>
      <c r="R77" s="3"/>
      <c r="S77" s="3"/>
    </row>
    <row r="78" spans="1:24" x14ac:dyDescent="0.35">
      <c r="D78" s="4" t="s">
        <v>20</v>
      </c>
      <c r="E78" s="40">
        <f>V24</f>
        <v>0.16128552829299003</v>
      </c>
      <c r="F78" s="40"/>
      <c r="G78" s="40"/>
      <c r="H78" s="40">
        <f>V45</f>
        <v>0.20037570933912208</v>
      </c>
      <c r="I78" s="40"/>
      <c r="J78" s="40"/>
      <c r="K78" s="40">
        <f>V66</f>
        <v>0.23831256561886557</v>
      </c>
      <c r="L78" s="40"/>
      <c r="M78" s="40"/>
      <c r="N78" s="3"/>
      <c r="O78" s="4" t="s">
        <v>35</v>
      </c>
      <c r="P78" s="5">
        <f>E79*G11+H79*I32+K79*H53</f>
        <v>0.46092825025854489</v>
      </c>
      <c r="Q78" s="3"/>
      <c r="R78" s="3"/>
      <c r="S78" s="3"/>
    </row>
    <row r="79" spans="1:24" x14ac:dyDescent="0.35">
      <c r="D79" s="4" t="s">
        <v>21</v>
      </c>
      <c r="E79" s="40">
        <f>V25</f>
        <v>0.52783282164823941</v>
      </c>
      <c r="F79" s="40"/>
      <c r="G79" s="40"/>
      <c r="H79" s="40">
        <f>V46</f>
        <v>0.41559569777481781</v>
      </c>
      <c r="I79" s="40"/>
      <c r="J79" s="40"/>
      <c r="K79" s="40">
        <f>V67</f>
        <v>0.47390277438332062</v>
      </c>
      <c r="L79" s="40"/>
      <c r="M79" s="40"/>
      <c r="N79" s="3"/>
      <c r="O79" s="6" t="s">
        <v>25</v>
      </c>
      <c r="P79" s="4" t="s">
        <v>21</v>
      </c>
      <c r="Q79" s="3"/>
      <c r="R79" s="3"/>
      <c r="S79" s="3"/>
    </row>
    <row r="81" spans="4:18" x14ac:dyDescent="0.35">
      <c r="F81" s="39" t="s">
        <v>53</v>
      </c>
      <c r="G81" s="38"/>
      <c r="H81" s="38"/>
      <c r="I81" s="38"/>
      <c r="J81" s="38"/>
      <c r="K81" s="38"/>
      <c r="L81" s="38"/>
    </row>
    <row r="82" spans="4:18" x14ac:dyDescent="0.35">
      <c r="D82" s="38" t="s">
        <v>51</v>
      </c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 spans="4:18" x14ac:dyDescent="0.35">
      <c r="F83" s="38" t="s">
        <v>54</v>
      </c>
      <c r="G83" s="38"/>
      <c r="H83" s="38"/>
      <c r="I83" s="38"/>
      <c r="J83" s="38"/>
      <c r="K83" s="38"/>
      <c r="L83" s="38"/>
      <c r="M83" s="38"/>
      <c r="N83" s="38"/>
    </row>
    <row r="91" spans="4:18" x14ac:dyDescent="0.35"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4:18" x14ac:dyDescent="0.35"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4:18" x14ac:dyDescent="0.35">
      <c r="I93" s="2"/>
      <c r="J93" s="3"/>
      <c r="K93" s="3"/>
      <c r="L93" s="3"/>
      <c r="M93" s="3"/>
      <c r="N93" s="3"/>
      <c r="O93" s="3"/>
      <c r="P93" s="3"/>
      <c r="Q93" s="3"/>
      <c r="R93" s="3"/>
    </row>
    <row r="94" spans="4:18" x14ac:dyDescent="0.35">
      <c r="I94" s="2"/>
      <c r="J94" s="3"/>
      <c r="K94" s="3"/>
      <c r="L94" s="3"/>
      <c r="M94" s="3"/>
      <c r="N94" s="3"/>
      <c r="O94" s="3"/>
      <c r="P94" s="3"/>
      <c r="Q94" s="3"/>
      <c r="R94" s="3"/>
    </row>
    <row r="95" spans="4:18" x14ac:dyDescent="0.35">
      <c r="I95" s="2"/>
      <c r="J95" s="3"/>
      <c r="K95" s="3"/>
      <c r="L95" s="3"/>
      <c r="M95" s="3"/>
      <c r="N95" s="3"/>
      <c r="O95" s="3"/>
      <c r="P95" s="3"/>
      <c r="Q95" s="3"/>
      <c r="R95" s="3"/>
    </row>
  </sheetData>
  <mergeCells count="94">
    <mergeCell ref="AB57:AF57"/>
    <mergeCell ref="AB49:AF49"/>
    <mergeCell ref="AH49:AL49"/>
    <mergeCell ref="AB51:AC51"/>
    <mergeCell ref="AB59:AC59"/>
    <mergeCell ref="AH57:AL57"/>
    <mergeCell ref="AH59:AI59"/>
    <mergeCell ref="AH51:AI51"/>
    <mergeCell ref="AB42:AC42"/>
    <mergeCell ref="AB32:AF32"/>
    <mergeCell ref="AB34:AC34"/>
    <mergeCell ref="AB40:AF40"/>
    <mergeCell ref="AH32:AL32"/>
    <mergeCell ref="AH34:AI34"/>
    <mergeCell ref="AH42:AI42"/>
    <mergeCell ref="AH40:AL40"/>
    <mergeCell ref="AB23:AF23"/>
    <mergeCell ref="AB25:AC25"/>
    <mergeCell ref="AH15:AL15"/>
    <mergeCell ref="AH23:AL23"/>
    <mergeCell ref="AH17:AI17"/>
    <mergeCell ref="AH25:AI25"/>
    <mergeCell ref="AC3:AD3"/>
    <mergeCell ref="AF3:AG3"/>
    <mergeCell ref="AB15:AF15"/>
    <mergeCell ref="AB17:AC17"/>
    <mergeCell ref="G2:K2"/>
    <mergeCell ref="M3:N3"/>
    <mergeCell ref="B2:E2"/>
    <mergeCell ref="P3:Q3"/>
    <mergeCell ref="C13:F13"/>
    <mergeCell ref="H13:K13"/>
    <mergeCell ref="M13:P13"/>
    <mergeCell ref="C3:E3"/>
    <mergeCell ref="C4:E4"/>
    <mergeCell ref="C5:E5"/>
    <mergeCell ref="C6:E6"/>
    <mergeCell ref="R19:S19"/>
    <mergeCell ref="R25:S25"/>
    <mergeCell ref="R13:U13"/>
    <mergeCell ref="C19:D19"/>
    <mergeCell ref="C25:D25"/>
    <mergeCell ref="H19:I19"/>
    <mergeCell ref="H25:I25"/>
    <mergeCell ref="M19:N19"/>
    <mergeCell ref="M25:N25"/>
    <mergeCell ref="R46:S46"/>
    <mergeCell ref="C40:D40"/>
    <mergeCell ref="C34:F34"/>
    <mergeCell ref="H34:K34"/>
    <mergeCell ref="M34:P34"/>
    <mergeCell ref="R34:U34"/>
    <mergeCell ref="H40:I40"/>
    <mergeCell ref="M40:N40"/>
    <mergeCell ref="R40:S40"/>
    <mergeCell ref="R67:S67"/>
    <mergeCell ref="U22:V22"/>
    <mergeCell ref="U43:V43"/>
    <mergeCell ref="U64:V64"/>
    <mergeCell ref="C53:G53"/>
    <mergeCell ref="C55:F55"/>
    <mergeCell ref="H55:K55"/>
    <mergeCell ref="M55:P55"/>
    <mergeCell ref="R55:U55"/>
    <mergeCell ref="C61:D61"/>
    <mergeCell ref="H61:I61"/>
    <mergeCell ref="M61:N61"/>
    <mergeCell ref="R61:S61"/>
    <mergeCell ref="C46:D46"/>
    <mergeCell ref="H46:I46"/>
    <mergeCell ref="M46:N46"/>
    <mergeCell ref="E77:G77"/>
    <mergeCell ref="H77:J77"/>
    <mergeCell ref="K77:M77"/>
    <mergeCell ref="K76:M76"/>
    <mergeCell ref="C67:D67"/>
    <mergeCell ref="H67:I67"/>
    <mergeCell ref="M67:N67"/>
    <mergeCell ref="F83:N83"/>
    <mergeCell ref="S2:Z9"/>
    <mergeCell ref="D82:N82"/>
    <mergeCell ref="X11:Z22"/>
    <mergeCell ref="F81:L81"/>
    <mergeCell ref="E78:G78"/>
    <mergeCell ref="H78:J78"/>
    <mergeCell ref="E79:G79"/>
    <mergeCell ref="H79:J79"/>
    <mergeCell ref="O75:P75"/>
    <mergeCell ref="K78:M78"/>
    <mergeCell ref="K79:M79"/>
    <mergeCell ref="D75:D76"/>
    <mergeCell ref="E75:M75"/>
    <mergeCell ref="E76:G76"/>
    <mergeCell ref="H76:J76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Сумм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Деркач</dc:creator>
  <cp:lastModifiedBy>Губаревич Настя</cp:lastModifiedBy>
  <dcterms:created xsi:type="dcterms:W3CDTF">2022-01-31T20:15:55Z</dcterms:created>
  <dcterms:modified xsi:type="dcterms:W3CDTF">2026-03-07T16:18:05Z</dcterms:modified>
</cp:coreProperties>
</file>