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yme\OneDrive\Документы\GitHub\BSUIR-labs\6 term\СА\lab1\"/>
    </mc:Choice>
  </mc:AlternateContent>
  <xr:revisionPtr revIDLastSave="0" documentId="8_{DF94B290-F4FC-44B1-8FF6-50A9120D885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3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8" i="4" l="1"/>
  <c r="V49" i="4"/>
  <c r="V50" i="4"/>
  <c r="V51" i="4"/>
  <c r="V43" i="4"/>
  <c r="V42" i="4"/>
  <c r="V41" i="4"/>
  <c r="V36" i="4"/>
  <c r="V35" i="4"/>
  <c r="V34" i="4"/>
  <c r="V33" i="4"/>
  <c r="V28" i="4"/>
  <c r="V27" i="4"/>
  <c r="V26" i="4"/>
  <c r="V25" i="4"/>
  <c r="V19" i="4"/>
  <c r="V18" i="4"/>
  <c r="V17" i="4"/>
  <c r="V16" i="4"/>
  <c r="K59" i="4"/>
  <c r="L43" i="4"/>
  <c r="L42" i="4"/>
  <c r="K49" i="4"/>
  <c r="L41" i="4"/>
  <c r="L44" i="4"/>
  <c r="L25" i="4"/>
  <c r="O19" i="4"/>
  <c r="O18" i="4"/>
  <c r="O17" i="4"/>
  <c r="L27" i="4" s="1"/>
  <c r="N19" i="4"/>
  <c r="L26" i="4" s="1"/>
  <c r="N18" i="4"/>
  <c r="N17" i="4"/>
  <c r="M19" i="4"/>
  <c r="M18" i="4"/>
  <c r="M17" i="4"/>
  <c r="L19" i="4"/>
  <c r="L18" i="4"/>
  <c r="L17" i="4"/>
  <c r="L24" i="4" s="1"/>
  <c r="C16" i="4"/>
  <c r="C33" i="4"/>
  <c r="C17" i="4"/>
  <c r="C34" i="4"/>
  <c r="C18" i="4"/>
  <c r="C35" i="4"/>
  <c r="C19" i="4"/>
  <c r="C36" i="4"/>
  <c r="V20" i="4" l="1"/>
  <c r="K54" i="4"/>
  <c r="C20" i="4"/>
  <c r="C26" i="4" s="1"/>
  <c r="C25" i="4" l="1"/>
  <c r="C27" i="4"/>
  <c r="C28" i="4"/>
  <c r="B41" i="4" l="1"/>
  <c r="B46" i="4" s="1"/>
  <c r="B56" i="4" s="1"/>
  <c r="L28" i="4" l="1"/>
  <c r="L34" i="4" l="1"/>
  <c r="L36" i="4"/>
  <c r="L33" i="4"/>
  <c r="L35" i="4"/>
</calcChain>
</file>

<file path=xl/sharedStrings.xml><?xml version="1.0" encoding="utf-8"?>
<sst xmlns="http://schemas.openxmlformats.org/spreadsheetml/2006/main" count="115" uniqueCount="79">
  <si>
    <t>А1</t>
  </si>
  <si>
    <t>А2</t>
  </si>
  <si>
    <t>А3</t>
  </si>
  <si>
    <t>А4</t>
  </si>
  <si>
    <t>Цены альтернатив</t>
  </si>
  <si>
    <t>С1</t>
  </si>
  <si>
    <t>С2</t>
  </si>
  <si>
    <t>С3</t>
  </si>
  <si>
    <t>С4</t>
  </si>
  <si>
    <t>Сумма:</t>
  </si>
  <si>
    <t>V1</t>
  </si>
  <si>
    <t>V2</t>
  </si>
  <si>
    <t>V3</t>
  </si>
  <si>
    <t>V4</t>
  </si>
  <si>
    <t>R1</t>
  </si>
  <si>
    <t>R2</t>
  </si>
  <si>
    <t>R3</t>
  </si>
  <si>
    <t>R4</t>
  </si>
  <si>
    <t>СУММ столбцов</t>
  </si>
  <si>
    <t>λ</t>
  </si>
  <si>
    <t>ИС</t>
  </si>
  <si>
    <t>СлС</t>
  </si>
  <si>
    <t>ОС</t>
  </si>
  <si>
    <t>Эксперты</t>
  </si>
  <si>
    <t>A1</t>
  </si>
  <si>
    <t>A2</t>
  </si>
  <si>
    <t>A3</t>
  </si>
  <si>
    <t>A4</t>
  </si>
  <si>
    <t>Альтернативы (факторы)</t>
  </si>
  <si>
    <t>Суммы оценок</t>
  </si>
  <si>
    <t>C1</t>
  </si>
  <si>
    <t>C2</t>
  </si>
  <si>
    <t>C3</t>
  </si>
  <si>
    <t>C4</t>
  </si>
  <si>
    <t>Веса альтернатив</t>
  </si>
  <si>
    <t>S1</t>
  </si>
  <si>
    <t>S2</t>
  </si>
  <si>
    <t>S3</t>
  </si>
  <si>
    <t>S4</t>
  </si>
  <si>
    <t>Величина А</t>
  </si>
  <si>
    <t>Величина S</t>
  </si>
  <si>
    <t>Коэффициент конкордации</t>
  </si>
  <si>
    <t>X1</t>
  </si>
  <si>
    <t>X2</t>
  </si>
  <si>
    <t>X3</t>
  </si>
  <si>
    <t>X4</t>
  </si>
  <si>
    <t>Средние оценки</t>
  </si>
  <si>
    <t>Дисперсии экспертов</t>
  </si>
  <si>
    <t>Дисперсии альтернатив</t>
  </si>
  <si>
    <t>Dэ1</t>
  </si>
  <si>
    <t>Dэ3</t>
  </si>
  <si>
    <t>Dэ2</t>
  </si>
  <si>
    <t>Dа2</t>
  </si>
  <si>
    <t>Dа3</t>
  </si>
  <si>
    <t>Dа4</t>
  </si>
  <si>
    <t>1 Матрица парных сравнений</t>
  </si>
  <si>
    <t>2 Цены альтернатив - средние геометрические строк матрицы</t>
  </si>
  <si>
    <t>4 Суммы столбцов матрицы</t>
  </si>
  <si>
    <t>3 Веса альтернатив</t>
  </si>
  <si>
    <t xml:space="preserve">6 Индекс согласованности </t>
  </si>
  <si>
    <t xml:space="preserve">5 Вспомогательная величина </t>
  </si>
  <si>
    <t>8 Отношение согласованности</t>
  </si>
  <si>
    <t xml:space="preserve">7 Величина случайной согласованности </t>
  </si>
  <si>
    <t>3.2 Метод предпочтений</t>
  </si>
  <si>
    <t>1 Матрица экспертных оценок для метода предпочтений</t>
  </si>
  <si>
    <t>2 Преобразованная матрица экспертных оценок для метода предпочтений</t>
  </si>
  <si>
    <t>3.3 Метод ранга</t>
  </si>
  <si>
    <t>3 Суммы преобразованных оценок</t>
  </si>
  <si>
    <t>4 Веса альтернатив</t>
  </si>
  <si>
    <t>5 Суммы оценок для каждой из альтернатив</t>
  </si>
  <si>
    <t>6 Вспомогательная величина A</t>
  </si>
  <si>
    <t>7 Вспомогательная величина S</t>
  </si>
  <si>
    <t>8 Коэффициент конкордации</t>
  </si>
  <si>
    <t>1 Матрица экспертных оценок для метода ранга</t>
  </si>
  <si>
    <t>2 Суммарные оценки альтернатив всеми экспертами</t>
  </si>
  <si>
    <t>4 Средние оценки каждой альтернативы</t>
  </si>
  <si>
    <t>5 Дисперсии оценок каждого эксперта</t>
  </si>
  <si>
    <t>6 Дисперсии оценок каждой альтернативы</t>
  </si>
  <si>
    <t>3.1 Метод Саати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</si>
</sst>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DBEF"/>
        <bgColor indexed="64"/>
      </patternFill>
    </fill>
    <fill>
      <patternFill patternType="solid">
        <fgColor rgb="FFE9D1F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/>
    <xf numFmtId="0" fontId="0" fillId="0" borderId="0" xfId="0" applyAlignment="1"/>
    <xf numFmtId="0" fontId="0" fillId="0" borderId="4" xfId="0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2" fontId="4" fillId="0" borderId="1" xfId="0" applyNumberFormat="1" applyFont="1" applyBorder="1" applyAlignment="1">
      <alignment vertical="center"/>
    </xf>
    <xf numFmtId="12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4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9D1FB"/>
      <color rgb="FFDFBDF9"/>
      <color rgb="FFCC99FF"/>
      <color rgb="FFECD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4137-B7C4-4A2E-B88C-EFE1E1605B9D}">
  <dimension ref="B3:AA60"/>
  <sheetViews>
    <sheetView tabSelected="1" topLeftCell="C40" workbookViewId="0">
      <selection activeCell="P32" sqref="P32"/>
    </sheetView>
  </sheetViews>
  <sheetFormatPr defaultRowHeight="14.5" x14ac:dyDescent="0.35"/>
  <sheetData>
    <row r="3" spans="2:27" ht="17.5" x14ac:dyDescent="0.35">
      <c r="B3" s="6" t="s">
        <v>78</v>
      </c>
      <c r="C3" s="6"/>
      <c r="D3" s="6"/>
      <c r="E3" s="6"/>
      <c r="F3" s="6"/>
      <c r="G3" s="6"/>
      <c r="H3" s="6"/>
      <c r="K3" s="6" t="s">
        <v>63</v>
      </c>
      <c r="L3" s="7"/>
      <c r="M3" s="7"/>
      <c r="N3" s="7"/>
      <c r="O3" s="7"/>
      <c r="P3" s="7"/>
      <c r="Q3" s="7"/>
      <c r="U3" s="6" t="s">
        <v>66</v>
      </c>
      <c r="V3" s="8"/>
      <c r="W3" s="8"/>
      <c r="X3" s="8"/>
      <c r="Y3" s="8"/>
      <c r="Z3" s="8"/>
      <c r="AA3" s="8"/>
    </row>
    <row r="5" spans="2:27" x14ac:dyDescent="0.35">
      <c r="B5" s="4" t="s">
        <v>55</v>
      </c>
      <c r="C5" s="5"/>
      <c r="D5" s="5"/>
      <c r="E5" s="5"/>
      <c r="F5" s="5"/>
      <c r="G5" s="5"/>
      <c r="K5" s="4" t="s">
        <v>64</v>
      </c>
      <c r="L5" s="5"/>
      <c r="M5" s="5"/>
      <c r="N5" s="5"/>
      <c r="O5" s="5"/>
      <c r="P5" s="5"/>
      <c r="Q5" s="5"/>
      <c r="U5" s="4" t="s">
        <v>73</v>
      </c>
      <c r="V5" s="5"/>
      <c r="W5" s="5"/>
      <c r="X5" s="5"/>
      <c r="Y5" s="5"/>
      <c r="Z5" s="5"/>
      <c r="AA5" s="5"/>
    </row>
    <row r="6" spans="2:27" x14ac:dyDescent="0.35">
      <c r="J6" s="17"/>
      <c r="K6" s="17"/>
      <c r="L6" s="17"/>
      <c r="M6" s="17"/>
      <c r="N6" s="17"/>
      <c r="O6" s="17"/>
      <c r="P6" s="17"/>
    </row>
    <row r="7" spans="2:27" x14ac:dyDescent="0.35">
      <c r="B7" s="34"/>
      <c r="C7" s="35" t="s">
        <v>0</v>
      </c>
      <c r="D7" s="35" t="s">
        <v>1</v>
      </c>
      <c r="E7" s="35" t="s">
        <v>2</v>
      </c>
      <c r="F7" s="35" t="s">
        <v>3</v>
      </c>
      <c r="J7" s="17"/>
      <c r="K7" s="32" t="s">
        <v>23</v>
      </c>
      <c r="L7" s="20" t="s">
        <v>28</v>
      </c>
      <c r="M7" s="20"/>
      <c r="N7" s="20"/>
      <c r="O7" s="20"/>
      <c r="P7" s="17"/>
      <c r="U7" s="10" t="s">
        <v>23</v>
      </c>
      <c r="V7" s="9" t="s">
        <v>28</v>
      </c>
      <c r="W7" s="9"/>
      <c r="X7" s="9"/>
      <c r="Y7" s="9"/>
    </row>
    <row r="8" spans="2:27" x14ac:dyDescent="0.35">
      <c r="B8" s="35" t="s">
        <v>0</v>
      </c>
      <c r="C8" s="36">
        <v>1</v>
      </c>
      <c r="D8" s="37">
        <v>0.33</v>
      </c>
      <c r="E8" s="37">
        <v>0.14285714285714285</v>
      </c>
      <c r="F8" s="36">
        <v>5</v>
      </c>
      <c r="J8" s="17"/>
      <c r="K8" s="33"/>
      <c r="L8" s="11" t="s">
        <v>24</v>
      </c>
      <c r="M8" s="11" t="s">
        <v>25</v>
      </c>
      <c r="N8" s="11" t="s">
        <v>26</v>
      </c>
      <c r="O8" s="11" t="s">
        <v>27</v>
      </c>
      <c r="P8" s="17"/>
      <c r="U8" s="10"/>
      <c r="V8" s="11" t="s">
        <v>24</v>
      </c>
      <c r="W8" s="11" t="s">
        <v>25</v>
      </c>
      <c r="X8" s="11" t="s">
        <v>26</v>
      </c>
      <c r="Y8" s="11" t="s">
        <v>27</v>
      </c>
    </row>
    <row r="9" spans="2:27" x14ac:dyDescent="0.35">
      <c r="B9" s="35" t="s">
        <v>1</v>
      </c>
      <c r="C9" s="36">
        <v>3</v>
      </c>
      <c r="D9" s="36">
        <v>1</v>
      </c>
      <c r="E9" s="37">
        <v>0.2</v>
      </c>
      <c r="F9" s="36">
        <v>7</v>
      </c>
      <c r="J9" s="17"/>
      <c r="K9" s="31">
        <v>1</v>
      </c>
      <c r="L9" s="13">
        <v>3</v>
      </c>
      <c r="M9" s="13">
        <v>2</v>
      </c>
      <c r="N9" s="13">
        <v>1</v>
      </c>
      <c r="O9" s="13">
        <v>4</v>
      </c>
      <c r="P9" s="17"/>
      <c r="U9" s="12">
        <v>1</v>
      </c>
      <c r="V9" s="13">
        <v>4</v>
      </c>
      <c r="W9" s="13">
        <v>7</v>
      </c>
      <c r="X9" s="13">
        <v>10</v>
      </c>
      <c r="Y9" s="13">
        <v>1</v>
      </c>
    </row>
    <row r="10" spans="2:27" x14ac:dyDescent="0.35">
      <c r="B10" s="35" t="s">
        <v>2</v>
      </c>
      <c r="C10" s="36">
        <v>7</v>
      </c>
      <c r="D10" s="36">
        <v>5</v>
      </c>
      <c r="E10" s="36">
        <v>1</v>
      </c>
      <c r="F10" s="36">
        <v>9</v>
      </c>
      <c r="J10" s="17"/>
      <c r="K10" s="31">
        <v>2</v>
      </c>
      <c r="L10" s="13">
        <v>1</v>
      </c>
      <c r="M10" s="13">
        <v>4</v>
      </c>
      <c r="N10" s="13">
        <v>2</v>
      </c>
      <c r="O10" s="13">
        <v>3</v>
      </c>
      <c r="P10" s="17"/>
      <c r="U10" s="12">
        <v>2</v>
      </c>
      <c r="V10" s="13">
        <v>10</v>
      </c>
      <c r="W10" s="13">
        <v>1</v>
      </c>
      <c r="X10" s="13">
        <v>7</v>
      </c>
      <c r="Y10" s="13">
        <v>4</v>
      </c>
    </row>
    <row r="11" spans="2:27" x14ac:dyDescent="0.35">
      <c r="B11" s="35" t="s">
        <v>3</v>
      </c>
      <c r="C11" s="37">
        <v>0.2</v>
      </c>
      <c r="D11" s="37">
        <v>0.14000000000000001</v>
      </c>
      <c r="E11" s="37">
        <v>0.1111111111111111</v>
      </c>
      <c r="F11" s="36">
        <v>1</v>
      </c>
      <c r="J11" s="17"/>
      <c r="K11" s="31">
        <v>3</v>
      </c>
      <c r="L11" s="13">
        <v>4</v>
      </c>
      <c r="M11" s="13">
        <v>3</v>
      </c>
      <c r="N11" s="13">
        <v>1</v>
      </c>
      <c r="O11" s="13">
        <v>2</v>
      </c>
      <c r="P11" s="17"/>
      <c r="U11" s="12">
        <v>3</v>
      </c>
      <c r="V11" s="13">
        <v>1</v>
      </c>
      <c r="W11" s="13">
        <v>4</v>
      </c>
      <c r="X11" s="13">
        <v>10</v>
      </c>
      <c r="Y11" s="13">
        <v>7</v>
      </c>
    </row>
    <row r="13" spans="2:27" x14ac:dyDescent="0.35">
      <c r="B13" s="1" t="s">
        <v>56</v>
      </c>
      <c r="C13" s="2"/>
      <c r="D13" s="2"/>
      <c r="E13" s="2"/>
      <c r="F13" s="2"/>
      <c r="G13" s="3"/>
      <c r="K13" s="1" t="s">
        <v>65</v>
      </c>
      <c r="L13" s="2"/>
      <c r="M13" s="2"/>
      <c r="N13" s="2"/>
      <c r="O13" s="2"/>
      <c r="P13" s="2"/>
      <c r="Q13" s="2"/>
      <c r="U13" s="4" t="s">
        <v>74</v>
      </c>
      <c r="V13" s="5"/>
      <c r="W13" s="5"/>
      <c r="X13" s="5"/>
      <c r="Y13" s="5"/>
      <c r="Z13" s="5"/>
      <c r="AA13" s="5"/>
    </row>
    <row r="14" spans="2:27" x14ac:dyDescent="0.35">
      <c r="J14" s="17"/>
      <c r="K14" s="17"/>
      <c r="L14" s="17"/>
      <c r="M14" s="17"/>
      <c r="N14" s="17"/>
      <c r="O14" s="17"/>
    </row>
    <row r="15" spans="2:27" x14ac:dyDescent="0.35">
      <c r="B15" s="38" t="s">
        <v>4</v>
      </c>
      <c r="C15" s="38"/>
      <c r="J15" s="17"/>
      <c r="K15" s="30" t="s">
        <v>23</v>
      </c>
      <c r="L15" s="20" t="s">
        <v>28</v>
      </c>
      <c r="M15" s="20"/>
      <c r="N15" s="20"/>
      <c r="O15" s="20"/>
      <c r="U15" s="14" t="s">
        <v>29</v>
      </c>
      <c r="V15" s="15"/>
    </row>
    <row r="16" spans="2:27" x14ac:dyDescent="0.35">
      <c r="B16" s="13" t="s">
        <v>5</v>
      </c>
      <c r="C16" s="39">
        <f>GEOMEAN(C8:F8)</f>
        <v>0.69678128291997932</v>
      </c>
      <c r="J16" s="17"/>
      <c r="K16" s="30"/>
      <c r="L16" s="11" t="s">
        <v>24</v>
      </c>
      <c r="M16" s="11" t="s">
        <v>25</v>
      </c>
      <c r="N16" s="11" t="s">
        <v>26</v>
      </c>
      <c r="O16" s="11" t="s">
        <v>27</v>
      </c>
      <c r="U16" s="13" t="s">
        <v>30</v>
      </c>
      <c r="V16" s="13">
        <f>SUM(V9:V11)</f>
        <v>15</v>
      </c>
    </row>
    <row r="17" spans="2:27" x14ac:dyDescent="0.35">
      <c r="B17" s="13" t="s">
        <v>6</v>
      </c>
      <c r="C17" s="39">
        <f>GEOMEAN(C9:F9)</f>
        <v>1.4315691227432645</v>
      </c>
      <c r="J17" s="17"/>
      <c r="K17" s="31">
        <v>1</v>
      </c>
      <c r="L17" s="13">
        <f>4-L9</f>
        <v>1</v>
      </c>
      <c r="M17" s="13">
        <f>4-M9</f>
        <v>2</v>
      </c>
      <c r="N17" s="13">
        <f>4-N9</f>
        <v>3</v>
      </c>
      <c r="O17" s="13">
        <f>4-O9</f>
        <v>0</v>
      </c>
      <c r="U17" s="13" t="s">
        <v>31</v>
      </c>
      <c r="V17" s="13">
        <f>SUM(W9:W11)</f>
        <v>12</v>
      </c>
    </row>
    <row r="18" spans="2:27" x14ac:dyDescent="0.35">
      <c r="B18" s="13" t="s">
        <v>7</v>
      </c>
      <c r="C18" s="39">
        <f>GEOMEAN(C10:F10)</f>
        <v>4.2128659306105209</v>
      </c>
      <c r="J18" s="17"/>
      <c r="K18" s="31">
        <v>2</v>
      </c>
      <c r="L18" s="13">
        <f>4-L10</f>
        <v>3</v>
      </c>
      <c r="M18" s="13">
        <f>4-M10</f>
        <v>0</v>
      </c>
      <c r="N18" s="13">
        <f>4-N10</f>
        <v>2</v>
      </c>
      <c r="O18" s="13">
        <f>4-O10</f>
        <v>1</v>
      </c>
      <c r="U18" s="13" t="s">
        <v>32</v>
      </c>
      <c r="V18" s="13">
        <f>SUM(X9:X11)</f>
        <v>27</v>
      </c>
    </row>
    <row r="19" spans="2:27" x14ac:dyDescent="0.35">
      <c r="B19" s="13" t="s">
        <v>8</v>
      </c>
      <c r="C19" s="39">
        <f>GEOMEAN(C11:F11)</f>
        <v>0.23617225726632607</v>
      </c>
      <c r="J19" s="17"/>
      <c r="K19" s="31">
        <v>3</v>
      </c>
      <c r="L19" s="13">
        <f>4-L11</f>
        <v>0</v>
      </c>
      <c r="M19" s="13">
        <f>4-M11</f>
        <v>1</v>
      </c>
      <c r="N19" s="13">
        <f>4-N11</f>
        <v>3</v>
      </c>
      <c r="O19" s="13">
        <f>4-O11</f>
        <v>2</v>
      </c>
      <c r="U19" s="13" t="s">
        <v>33</v>
      </c>
      <c r="V19" s="13">
        <f>SUM(Y9:Y11)</f>
        <v>12</v>
      </c>
    </row>
    <row r="20" spans="2:27" x14ac:dyDescent="0.35">
      <c r="B20" s="16" t="s">
        <v>9</v>
      </c>
      <c r="C20" s="39">
        <f>SUM(C16:C19)</f>
        <v>6.5773885935400909</v>
      </c>
      <c r="U20" s="16" t="s">
        <v>9</v>
      </c>
      <c r="V20" s="13">
        <f>SUM(V16:V19)</f>
        <v>66</v>
      </c>
    </row>
    <row r="21" spans="2:27" x14ac:dyDescent="0.35">
      <c r="K21" s="4" t="s">
        <v>67</v>
      </c>
      <c r="L21" s="5"/>
      <c r="M21" s="5"/>
      <c r="N21" s="5"/>
      <c r="O21" s="5"/>
      <c r="P21" s="5"/>
      <c r="Q21" s="5"/>
      <c r="R21" s="5"/>
    </row>
    <row r="22" spans="2:27" x14ac:dyDescent="0.35">
      <c r="B22" s="4" t="s">
        <v>58</v>
      </c>
      <c r="C22" s="5"/>
      <c r="D22" s="5"/>
      <c r="E22" s="5"/>
      <c r="F22" s="5"/>
      <c r="G22" s="5"/>
      <c r="H22" s="5"/>
      <c r="J22" s="17"/>
      <c r="K22" s="17"/>
      <c r="L22" s="17"/>
      <c r="M22" s="17"/>
      <c r="U22" s="4" t="s">
        <v>58</v>
      </c>
      <c r="V22" s="5"/>
      <c r="W22" s="5"/>
      <c r="X22" s="5"/>
      <c r="Y22" s="5"/>
      <c r="Z22" s="5"/>
      <c r="AA22" s="5"/>
    </row>
    <row r="23" spans="2:27" x14ac:dyDescent="0.35">
      <c r="J23" s="17"/>
      <c r="K23" s="22" t="s">
        <v>29</v>
      </c>
      <c r="L23" s="29"/>
      <c r="M23" s="17"/>
    </row>
    <row r="24" spans="2:27" x14ac:dyDescent="0.35">
      <c r="B24" s="38" t="s">
        <v>34</v>
      </c>
      <c r="C24" s="38"/>
      <c r="J24" s="17"/>
      <c r="K24" s="13" t="s">
        <v>30</v>
      </c>
      <c r="L24" s="13">
        <f>SUM(L17:L19)</f>
        <v>4</v>
      </c>
      <c r="M24" s="17"/>
      <c r="U24" s="9" t="s">
        <v>34</v>
      </c>
      <c r="V24" s="9"/>
    </row>
    <row r="25" spans="2:27" x14ac:dyDescent="0.35">
      <c r="B25" s="13" t="s">
        <v>10</v>
      </c>
      <c r="C25" s="28">
        <f>C16/C20</f>
        <v>0.1059358547865509</v>
      </c>
      <c r="J25" s="17"/>
      <c r="K25" s="13" t="s">
        <v>31</v>
      </c>
      <c r="L25" s="13">
        <f>SUM(M17:M19)</f>
        <v>3</v>
      </c>
      <c r="M25" s="17"/>
      <c r="U25" s="13" t="s">
        <v>10</v>
      </c>
      <c r="V25" s="28">
        <f>V16/V20</f>
        <v>0.22727272727272727</v>
      </c>
    </row>
    <row r="26" spans="2:27" x14ac:dyDescent="0.35">
      <c r="B26" s="13" t="s">
        <v>11</v>
      </c>
      <c r="C26" s="28">
        <f>C17/C20</f>
        <v>0.21765007531245215</v>
      </c>
      <c r="J26" s="17"/>
      <c r="K26" s="13" t="s">
        <v>32</v>
      </c>
      <c r="L26" s="13">
        <f>SUM(N17:N19)</f>
        <v>8</v>
      </c>
      <c r="M26" s="17"/>
      <c r="U26" s="13" t="s">
        <v>11</v>
      </c>
      <c r="V26" s="28">
        <f>V17/V20</f>
        <v>0.18181818181818182</v>
      </c>
    </row>
    <row r="27" spans="2:27" x14ac:dyDescent="0.35">
      <c r="B27" s="13" t="s">
        <v>12</v>
      </c>
      <c r="C27" s="28">
        <f>C18/C20</f>
        <v>0.64050737928851287</v>
      </c>
      <c r="J27" s="17"/>
      <c r="K27" s="13" t="s">
        <v>33</v>
      </c>
      <c r="L27" s="13">
        <f>SUM(O17:O19)</f>
        <v>3</v>
      </c>
      <c r="M27" s="17"/>
      <c r="U27" s="13" t="s">
        <v>12</v>
      </c>
      <c r="V27" s="28">
        <f>V18/V20</f>
        <v>0.40909090909090912</v>
      </c>
    </row>
    <row r="28" spans="2:27" x14ac:dyDescent="0.35">
      <c r="B28" s="13" t="s">
        <v>13</v>
      </c>
      <c r="C28" s="28">
        <f>C19/C20</f>
        <v>3.5906690612484117E-2</v>
      </c>
      <c r="J28" s="17"/>
      <c r="K28" s="16" t="s">
        <v>9</v>
      </c>
      <c r="L28" s="13">
        <f>SUM(L24:L27)</f>
        <v>18</v>
      </c>
      <c r="M28" s="17"/>
      <c r="U28" s="13" t="s">
        <v>13</v>
      </c>
      <c r="V28" s="28">
        <f>V19/V20</f>
        <v>0.18181818181818182</v>
      </c>
    </row>
    <row r="30" spans="2:27" x14ac:dyDescent="0.35">
      <c r="B30" s="4" t="s">
        <v>57</v>
      </c>
      <c r="C30" s="5"/>
      <c r="D30" s="5"/>
      <c r="E30" s="5"/>
      <c r="F30" s="5"/>
      <c r="G30" s="5"/>
      <c r="H30" s="5"/>
      <c r="K30" s="4" t="s">
        <v>68</v>
      </c>
      <c r="L30" s="5"/>
      <c r="M30" s="5"/>
      <c r="N30" s="5"/>
      <c r="O30" s="5"/>
      <c r="P30" s="5"/>
      <c r="Q30" s="5"/>
      <c r="R30" s="5"/>
      <c r="U30" s="4" t="s">
        <v>75</v>
      </c>
      <c r="V30" s="5"/>
      <c r="W30" s="5"/>
      <c r="X30" s="5"/>
      <c r="Y30" s="5"/>
      <c r="Z30" s="5"/>
      <c r="AA30" s="5"/>
    </row>
    <row r="32" spans="2:27" x14ac:dyDescent="0.35">
      <c r="B32" s="38" t="s">
        <v>18</v>
      </c>
      <c r="C32" s="38"/>
      <c r="J32" s="17"/>
      <c r="K32" s="20" t="s">
        <v>34</v>
      </c>
      <c r="L32" s="20"/>
      <c r="M32" s="17"/>
      <c r="U32" s="9" t="s">
        <v>46</v>
      </c>
      <c r="V32" s="9"/>
    </row>
    <row r="33" spans="2:27" x14ac:dyDescent="0.35">
      <c r="B33" s="13" t="s">
        <v>14</v>
      </c>
      <c r="C33" s="28">
        <f>SUM(C8:C11)</f>
        <v>11.2</v>
      </c>
      <c r="J33" s="17"/>
      <c r="K33" s="13" t="s">
        <v>10</v>
      </c>
      <c r="L33" s="28">
        <f>L24/L28</f>
        <v>0.22222222222222221</v>
      </c>
      <c r="M33" s="17"/>
      <c r="U33" s="13" t="s">
        <v>42</v>
      </c>
      <c r="V33" s="41">
        <f>V16/3</f>
        <v>5</v>
      </c>
    </row>
    <row r="34" spans="2:27" x14ac:dyDescent="0.35">
      <c r="B34" s="13" t="s">
        <v>15</v>
      </c>
      <c r="C34" s="28">
        <f>SUM(D8:D11)</f>
        <v>6.47</v>
      </c>
      <c r="J34" s="17"/>
      <c r="K34" s="13" t="s">
        <v>11</v>
      </c>
      <c r="L34" s="28">
        <f>L25/L28</f>
        <v>0.16666666666666666</v>
      </c>
      <c r="M34" s="17"/>
      <c r="U34" s="13" t="s">
        <v>43</v>
      </c>
      <c r="V34" s="41">
        <f>V17/3</f>
        <v>4</v>
      </c>
    </row>
    <row r="35" spans="2:27" x14ac:dyDescent="0.35">
      <c r="B35" s="13" t="s">
        <v>16</v>
      </c>
      <c r="C35" s="28">
        <f>SUM(E8:E11)</f>
        <v>1.4539682539682541</v>
      </c>
      <c r="J35" s="17"/>
      <c r="K35" s="13" t="s">
        <v>12</v>
      </c>
      <c r="L35" s="28">
        <f>L26/L28</f>
        <v>0.44444444444444442</v>
      </c>
      <c r="M35" s="17"/>
      <c r="U35" s="13" t="s">
        <v>44</v>
      </c>
      <c r="V35" s="41">
        <f>V18/3</f>
        <v>9</v>
      </c>
    </row>
    <row r="36" spans="2:27" x14ac:dyDescent="0.35">
      <c r="B36" s="13" t="s">
        <v>17</v>
      </c>
      <c r="C36" s="28">
        <f>SUM(F8:F11)</f>
        <v>22</v>
      </c>
      <c r="J36" s="17"/>
      <c r="K36" s="13" t="s">
        <v>13</v>
      </c>
      <c r="L36" s="28">
        <f>L27/L28</f>
        <v>0.16666666666666666</v>
      </c>
      <c r="M36" s="17"/>
      <c r="U36" s="13" t="s">
        <v>45</v>
      </c>
      <c r="V36" s="41">
        <f>V19/3</f>
        <v>4</v>
      </c>
    </row>
    <row r="38" spans="2:27" x14ac:dyDescent="0.35">
      <c r="B38" s="4" t="s">
        <v>60</v>
      </c>
      <c r="C38" s="5"/>
      <c r="D38" s="5"/>
      <c r="E38" s="5"/>
      <c r="F38" s="5"/>
      <c r="G38" s="5"/>
      <c r="H38" s="5"/>
      <c r="K38" s="4" t="s">
        <v>69</v>
      </c>
      <c r="L38" s="5"/>
      <c r="M38" s="5"/>
      <c r="N38" s="5"/>
      <c r="O38" s="5"/>
      <c r="P38" s="5"/>
      <c r="Q38" s="5"/>
      <c r="R38" s="5"/>
      <c r="U38" s="4" t="s">
        <v>76</v>
      </c>
      <c r="V38" s="5"/>
      <c r="W38" s="5"/>
      <c r="X38" s="5"/>
      <c r="Y38" s="5"/>
      <c r="Z38" s="5"/>
      <c r="AA38" s="5"/>
    </row>
    <row r="39" spans="2:27" x14ac:dyDescent="0.35">
      <c r="J39" s="17"/>
      <c r="K39" s="17"/>
      <c r="L39" s="17"/>
      <c r="M39" s="17"/>
    </row>
    <row r="40" spans="2:27" x14ac:dyDescent="0.35">
      <c r="B40" s="38" t="s">
        <v>19</v>
      </c>
      <c r="C40" s="38"/>
      <c r="J40" s="17"/>
      <c r="K40" s="20" t="s">
        <v>29</v>
      </c>
      <c r="L40" s="20"/>
      <c r="M40" s="17"/>
      <c r="U40" s="9" t="s">
        <v>47</v>
      </c>
      <c r="V40" s="9"/>
      <c r="W40" s="9"/>
      <c r="X40" s="17"/>
      <c r="Y40" s="17"/>
      <c r="Z40" s="17"/>
      <c r="AA40" s="17"/>
    </row>
    <row r="41" spans="2:27" x14ac:dyDescent="0.35">
      <c r="B41" s="21">
        <f>C33*C25+C34*C26+C35*C27+C36*C28</f>
        <v>4.3159021502734873</v>
      </c>
      <c r="C41" s="21"/>
      <c r="J41" s="17"/>
      <c r="K41" s="27" t="s">
        <v>35</v>
      </c>
      <c r="L41" s="27">
        <f>SUM(L9:L11)</f>
        <v>8</v>
      </c>
      <c r="M41" s="17"/>
      <c r="U41" s="13" t="s">
        <v>49</v>
      </c>
      <c r="V41" s="18">
        <f>(1/3)*((V9-V33)^2+(W9-V34)^2+(X9-V35)^2+(Y9-V36)^2)</f>
        <v>6.6666666666666661</v>
      </c>
      <c r="W41" s="18"/>
      <c r="X41" s="17"/>
      <c r="Y41" s="17"/>
      <c r="Z41" s="17"/>
      <c r="AA41" s="17"/>
    </row>
    <row r="42" spans="2:27" x14ac:dyDescent="0.35">
      <c r="J42" s="17"/>
      <c r="K42" s="27" t="s">
        <v>36</v>
      </c>
      <c r="L42" s="27">
        <f>SUM(M9:M11)</f>
        <v>9</v>
      </c>
      <c r="M42" s="17"/>
      <c r="U42" s="13" t="s">
        <v>51</v>
      </c>
      <c r="V42" s="18">
        <f>(1/3)*((V10-V33)^2+(W10-V34)^2+(X10-V35)^2+(Y10-V36)^2)</f>
        <v>12.666666666666666</v>
      </c>
      <c r="W42" s="18"/>
      <c r="X42" s="17"/>
      <c r="Y42" s="17"/>
      <c r="Z42" s="17"/>
      <c r="AA42" s="17"/>
    </row>
    <row r="43" spans="2:27" x14ac:dyDescent="0.35">
      <c r="B43" s="4" t="s">
        <v>59</v>
      </c>
      <c r="C43" s="5"/>
      <c r="D43" s="5"/>
      <c r="E43" s="5"/>
      <c r="F43" s="5"/>
      <c r="G43" s="5"/>
      <c r="H43" s="5"/>
      <c r="J43" s="17"/>
      <c r="K43" s="27" t="s">
        <v>37</v>
      </c>
      <c r="L43" s="27">
        <f>SUM(N9:N11)</f>
        <v>4</v>
      </c>
      <c r="M43" s="17"/>
      <c r="U43" s="13" t="s">
        <v>50</v>
      </c>
      <c r="V43" s="18">
        <f>(1/3)*((V11-V33)^2+(W11-V34)^2+(X11-V35)^2+(Y11-V36)^2)</f>
        <v>8.6666666666666661</v>
      </c>
      <c r="W43" s="18"/>
      <c r="X43" s="17"/>
      <c r="Y43" s="17"/>
      <c r="Z43" s="17"/>
      <c r="AA43" s="17"/>
    </row>
    <row r="44" spans="2:27" x14ac:dyDescent="0.35">
      <c r="J44" s="17"/>
      <c r="K44" s="27" t="s">
        <v>38</v>
      </c>
      <c r="L44" s="27">
        <f>SUM(O9:O11)</f>
        <v>9</v>
      </c>
      <c r="M44" s="17"/>
      <c r="U44" s="17"/>
      <c r="V44" s="17"/>
      <c r="W44" s="17"/>
      <c r="X44" s="17"/>
      <c r="Y44" s="17"/>
      <c r="Z44" s="17"/>
      <c r="AA44" s="17"/>
    </row>
    <row r="45" spans="2:27" x14ac:dyDescent="0.35">
      <c r="B45" s="38" t="s">
        <v>20</v>
      </c>
      <c r="C45" s="38"/>
      <c r="U45" s="4" t="s">
        <v>77</v>
      </c>
      <c r="V45" s="19"/>
      <c r="W45" s="19"/>
      <c r="X45" s="19"/>
      <c r="Y45" s="19"/>
      <c r="Z45" s="19"/>
      <c r="AA45" s="19"/>
    </row>
    <row r="46" spans="2:27" x14ac:dyDescent="0.35">
      <c r="B46" s="21">
        <f>(B41-4)/3</f>
        <v>0.10530071675782911</v>
      </c>
      <c r="C46" s="21"/>
      <c r="K46" s="4" t="s">
        <v>70</v>
      </c>
      <c r="L46" s="5"/>
      <c r="M46" s="5"/>
      <c r="N46" s="5"/>
      <c r="O46" s="5"/>
      <c r="P46" s="5"/>
      <c r="Q46" s="5"/>
      <c r="R46" s="5"/>
      <c r="U46" s="17"/>
      <c r="V46" s="17"/>
      <c r="W46" s="17"/>
      <c r="X46" s="17"/>
      <c r="Y46" s="17"/>
      <c r="Z46" s="17"/>
      <c r="AA46" s="17"/>
    </row>
    <row r="47" spans="2:27" x14ac:dyDescent="0.35">
      <c r="J47" s="17"/>
      <c r="K47" s="17"/>
      <c r="L47" s="17"/>
      <c r="M47" s="17"/>
      <c r="U47" s="9" t="s">
        <v>48</v>
      </c>
      <c r="V47" s="9"/>
      <c r="W47" s="9"/>
      <c r="X47" s="17"/>
      <c r="Y47" s="17"/>
      <c r="Z47" s="17"/>
      <c r="AA47" s="17"/>
    </row>
    <row r="48" spans="2:27" x14ac:dyDescent="0.35">
      <c r="B48" s="4" t="s">
        <v>62</v>
      </c>
      <c r="C48" s="5"/>
      <c r="D48" s="5"/>
      <c r="E48" s="5"/>
      <c r="F48" s="5"/>
      <c r="G48" s="5"/>
      <c r="H48" s="5"/>
      <c r="J48" s="17"/>
      <c r="K48" s="20" t="s">
        <v>39</v>
      </c>
      <c r="L48" s="20"/>
      <c r="M48" s="17"/>
      <c r="U48" s="13" t="s">
        <v>49</v>
      </c>
      <c r="V48" s="42">
        <f>(1/2)*((V9-V33)^2+(V10-V33)^2+(V11-V33)^2)</f>
        <v>21</v>
      </c>
      <c r="W48" s="42"/>
      <c r="X48" s="17"/>
      <c r="Y48" s="17"/>
      <c r="Z48" s="17"/>
      <c r="AA48" s="17"/>
    </row>
    <row r="49" spans="2:27" x14ac:dyDescent="0.35">
      <c r="J49" s="17"/>
      <c r="K49" s="26">
        <f>3*(4+1)/2</f>
        <v>7.5</v>
      </c>
      <c r="L49" s="26"/>
      <c r="M49" s="17"/>
      <c r="U49" s="13" t="s">
        <v>52</v>
      </c>
      <c r="V49" s="42">
        <f>(1/2)*((W9-V34)^2+(W10-V34)^2+(W11-V34)^2)</f>
        <v>9</v>
      </c>
      <c r="W49" s="42"/>
      <c r="X49" s="17"/>
      <c r="Y49" s="17"/>
      <c r="Z49" s="17"/>
      <c r="AA49" s="17"/>
    </row>
    <row r="50" spans="2:27" x14ac:dyDescent="0.35">
      <c r="B50" s="38" t="s">
        <v>21</v>
      </c>
      <c r="C50" s="40"/>
      <c r="J50" s="17"/>
      <c r="K50" s="17"/>
      <c r="L50" s="17"/>
      <c r="M50" s="17"/>
      <c r="U50" s="13" t="s">
        <v>53</v>
      </c>
      <c r="V50" s="42">
        <f>(1/2)*((X9-V35)^2+(X10-V35)^2+(X11-V35)^2)</f>
        <v>3</v>
      </c>
      <c r="W50" s="42"/>
      <c r="X50" s="17"/>
      <c r="Y50" s="17"/>
      <c r="Z50" s="17"/>
      <c r="AA50" s="17"/>
    </row>
    <row r="51" spans="2:27" x14ac:dyDescent="0.35">
      <c r="B51" s="21">
        <v>0.9</v>
      </c>
      <c r="C51" s="21"/>
      <c r="K51" s="4" t="s">
        <v>71</v>
      </c>
      <c r="L51" s="5"/>
      <c r="M51" s="5"/>
      <c r="N51" s="5"/>
      <c r="O51" s="5"/>
      <c r="P51" s="5"/>
      <c r="Q51" s="5"/>
      <c r="R51" s="5"/>
      <c r="U51" s="13" t="s">
        <v>54</v>
      </c>
      <c r="V51" s="42">
        <f>(1/2)*((Y9-V36)^2+(Y10-V36)^2+(Y11-V36)^2)</f>
        <v>9</v>
      </c>
      <c r="W51" s="42"/>
      <c r="X51" s="17"/>
      <c r="Y51" s="17"/>
      <c r="Z51" s="17"/>
      <c r="AA51" s="17"/>
    </row>
    <row r="52" spans="2:27" x14ac:dyDescent="0.35">
      <c r="J52" s="17"/>
      <c r="K52" s="17"/>
      <c r="L52" s="17"/>
      <c r="M52" s="17"/>
    </row>
    <row r="53" spans="2:27" x14ac:dyDescent="0.35">
      <c r="B53" s="4" t="s">
        <v>61</v>
      </c>
      <c r="C53" s="5"/>
      <c r="D53" s="5"/>
      <c r="E53" s="5"/>
      <c r="F53" s="5"/>
      <c r="G53" s="5"/>
      <c r="H53" s="5"/>
      <c r="J53" s="17"/>
      <c r="K53" s="22" t="s">
        <v>40</v>
      </c>
      <c r="L53" s="23"/>
      <c r="M53" s="17"/>
    </row>
    <row r="54" spans="2:27" x14ac:dyDescent="0.35">
      <c r="J54" s="17"/>
      <c r="K54" s="24">
        <f>(L41-K49)^2+(L42-K49)^2+(L43-K49)^2+(L44-K49)^2</f>
        <v>17</v>
      </c>
      <c r="L54" s="25"/>
      <c r="M54" s="17"/>
    </row>
    <row r="55" spans="2:27" x14ac:dyDescent="0.35">
      <c r="B55" s="38" t="s">
        <v>22</v>
      </c>
      <c r="C55" s="38"/>
      <c r="J55" s="17"/>
      <c r="K55" s="17"/>
      <c r="L55" s="17"/>
      <c r="M55" s="17"/>
    </row>
    <row r="56" spans="2:27" x14ac:dyDescent="0.35">
      <c r="B56" s="21">
        <f>B46/B51</f>
        <v>0.1170007963975879</v>
      </c>
      <c r="C56" s="21"/>
      <c r="K56" s="4" t="s">
        <v>72</v>
      </c>
      <c r="L56" s="5"/>
      <c r="M56" s="5"/>
      <c r="N56" s="5"/>
      <c r="O56" s="5"/>
      <c r="P56" s="5"/>
      <c r="Q56" s="5"/>
      <c r="R56" s="5"/>
    </row>
    <row r="58" spans="2:27" x14ac:dyDescent="0.35">
      <c r="J58" s="17"/>
      <c r="K58" s="20" t="s">
        <v>41</v>
      </c>
      <c r="L58" s="20"/>
      <c r="M58" s="20"/>
      <c r="N58" s="17"/>
    </row>
    <row r="59" spans="2:27" x14ac:dyDescent="0.35">
      <c r="J59" s="17"/>
      <c r="K59" s="21">
        <f>(12*K54)/(3^2*4*(4^2-1))</f>
        <v>0.37777777777777777</v>
      </c>
      <c r="L59" s="21"/>
      <c r="M59" s="21"/>
      <c r="N59" s="17"/>
    </row>
    <row r="60" spans="2:27" x14ac:dyDescent="0.35">
      <c r="J60" s="17"/>
      <c r="K60" s="17"/>
      <c r="L60" s="17"/>
      <c r="M60" s="17"/>
      <c r="N60" s="17"/>
    </row>
  </sheetData>
  <mergeCells count="61">
    <mergeCell ref="V50:W50"/>
    <mergeCell ref="V51:W51"/>
    <mergeCell ref="V43:W43"/>
    <mergeCell ref="U45:AA45"/>
    <mergeCell ref="U47:W47"/>
    <mergeCell ref="V48:W48"/>
    <mergeCell ref="V49:W49"/>
    <mergeCell ref="K56:R56"/>
    <mergeCell ref="K58:M58"/>
    <mergeCell ref="K59:M59"/>
    <mergeCell ref="U5:AA5"/>
    <mergeCell ref="U7:U8"/>
    <mergeCell ref="V7:Y7"/>
    <mergeCell ref="U13:AA13"/>
    <mergeCell ref="U15:V15"/>
    <mergeCell ref="U24:V24"/>
    <mergeCell ref="U22:AA22"/>
    <mergeCell ref="U30:AA30"/>
    <mergeCell ref="U32:V32"/>
    <mergeCell ref="U38:AA38"/>
    <mergeCell ref="U40:W40"/>
    <mergeCell ref="V41:W41"/>
    <mergeCell ref="V42:W42"/>
    <mergeCell ref="U3:AA3"/>
    <mergeCell ref="K32:L32"/>
    <mergeCell ref="K40:L40"/>
    <mergeCell ref="K30:R30"/>
    <mergeCell ref="K38:R38"/>
    <mergeCell ref="K21:R21"/>
    <mergeCell ref="K23:L23"/>
    <mergeCell ref="B51:C51"/>
    <mergeCell ref="B55:C55"/>
    <mergeCell ref="B56:C56"/>
    <mergeCell ref="B45:C45"/>
    <mergeCell ref="K5:Q5"/>
    <mergeCell ref="K7:K8"/>
    <mergeCell ref="L7:O7"/>
    <mergeCell ref="K15:K16"/>
    <mergeCell ref="L15:O15"/>
    <mergeCell ref="K46:R46"/>
    <mergeCell ref="K48:L48"/>
    <mergeCell ref="K49:L49"/>
    <mergeCell ref="K51:R51"/>
    <mergeCell ref="K53:L53"/>
    <mergeCell ref="K54:L54"/>
    <mergeCell ref="B48:H48"/>
    <mergeCell ref="B53:H53"/>
    <mergeCell ref="K3:Q3"/>
    <mergeCell ref="B22:H22"/>
    <mergeCell ref="B3:H3"/>
    <mergeCell ref="B30:H30"/>
    <mergeCell ref="B38:H38"/>
    <mergeCell ref="B43:H43"/>
    <mergeCell ref="B15:C15"/>
    <mergeCell ref="B24:C24"/>
    <mergeCell ref="B32:C32"/>
    <mergeCell ref="B40:C40"/>
    <mergeCell ref="B41:C41"/>
    <mergeCell ref="B5:G5"/>
    <mergeCell ref="B46:C46"/>
    <mergeCell ref="B50:C5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Анжелика Деркач</dc:creator>
  <cp:lastModifiedBy>Губаревич Настя</cp:lastModifiedBy>
  <dcterms:created xsi:type="dcterms:W3CDTF">2022-01-29T07:43:32Z</dcterms:created>
  <dcterms:modified xsi:type="dcterms:W3CDTF">2026-01-30T09:29:33Z</dcterms:modified>
</cp:coreProperties>
</file>